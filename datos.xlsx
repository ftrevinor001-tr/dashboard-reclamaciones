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sanver-my.sharepoint.com/personal/compras_dsanver_onmicrosoft_com/Documents/Documentos/FERNANDO TREVIÑO/Devoluciones/"/>
    </mc:Choice>
  </mc:AlternateContent>
  <xr:revisionPtr revIDLastSave="1" documentId="8_{62F51A14-1BC1-485E-9603-87EAF6A82B0F}" xr6:coauthVersionLast="47" xr6:coauthVersionMax="47" xr10:uidLastSave="{657ACF21-0160-4FCE-AA9A-05BE157ED0B8}"/>
  <bookViews>
    <workbookView xWindow="-110" yWindow="-110" windowWidth="19420" windowHeight="11500" xr2:uid="{00000000-000D-0000-FFFF-FFFF00000000}"/>
  </bookViews>
  <sheets>
    <sheet name="datos- FOLIO DE GARANTIA" sheetId="1" r:id="rId1"/>
    <sheet name="FOLIOS DE DEVOLUCION-GARANTIA" sheetId="2" r:id="rId2"/>
    <sheet name="NC PENDIENTES" sheetId="3" r:id="rId3"/>
  </sheets>
  <definedNames>
    <definedName name="_xlnm._FilterDatabase" localSheetId="0" hidden="1">'datos- FOLIO DE GARANTIA'!$A$1:$O$250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2" i="3" l="1"/>
  <c r="O91" i="3"/>
  <c r="O90" i="3"/>
  <c r="O89" i="3"/>
  <c r="O88" i="3"/>
  <c r="O87" i="3"/>
  <c r="O86" i="3"/>
  <c r="O85" i="3"/>
  <c r="O84" i="3"/>
  <c r="O83" i="3"/>
  <c r="O82" i="3"/>
  <c r="O81" i="3"/>
  <c r="O80" i="3"/>
  <c r="P80" i="3" s="1"/>
  <c r="O79" i="3"/>
  <c r="P79" i="3" s="1"/>
  <c r="O78" i="3"/>
  <c r="P78" i="3" s="1"/>
  <c r="O77" i="3"/>
  <c r="P77" i="3" s="1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3" i="3"/>
  <c r="O52" i="3"/>
  <c r="O51" i="3"/>
  <c r="O50" i="3"/>
  <c r="O49" i="3"/>
  <c r="O48" i="3"/>
  <c r="O47" i="3"/>
  <c r="O46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J77" i="2"/>
  <c r="I77" i="2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J66" i="2"/>
  <c r="I66" i="2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J55" i="2"/>
  <c r="I55" i="2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<sst xmlns="http://schemas.openxmlformats.org/spreadsheetml/2006/main" count="2619" uniqueCount="732">
  <si>
    <t>MES DE DEVOLUCION</t>
  </si>
  <si>
    <t>FOLIO REPORTE</t>
  </si>
  <si>
    <t>ID</t>
  </si>
  <si>
    <t>PROVEEDOR</t>
  </si>
  <si>
    <t>CARTA FIRMADA</t>
  </si>
  <si>
    <t>IMPORTE (MXN)</t>
  </si>
  <si>
    <t>COMPRADOR</t>
  </si>
  <si>
    <t>FECHA CORTE</t>
  </si>
  <si>
    <t>FECHA VENCIMIENTO (+90 DÍAS)</t>
  </si>
  <si>
    <t>DÍAS RESTANTES</t>
  </si>
  <si>
    <t>ACCIONES / NOTAS</t>
  </si>
  <si>
    <t>ETAPA ACTUAL</t>
  </si>
  <si>
    <t>RESPUESTA PROVEEDOR TIPO</t>
  </si>
  <si>
    <t>DC-MZ001</t>
  </si>
  <si>
    <t>AKSI HERRAMIENTAS SA DE CV</t>
  </si>
  <si>
    <t>PENDIENTE</t>
  </si>
  <si>
    <t>FRANCISCO</t>
  </si>
  <si>
    <t>DEVOLUCION 8382 | [21/07/2026 11:15 · Yolanda] Avance en Destino final | [21/07/2026 11:15 · Yolanda] Avance en Destino final | [21/07/2026 11:16 · Yolanda] Etapa 4 (Destino final) TERMINADA · PROCESO FINALIZADO | [21/07/2026 12:30 · Reactivación] Etapa 'Disposición final' reactivada | [21/07/2026 12:32 · Yolanda] Avance en Disposición final | [17/08/2026 14:55 · YOLANDA] Etapa Cuentas por pagar TERMINADA · PROCESO FINALIZADO</t>
  </si>
  <si>
    <t>FINALIZADO</t>
  </si>
  <si>
    <t>Recolección</t>
  </si>
  <si>
    <t>DC-MZ002</t>
  </si>
  <si>
    <t>ASSA ABLOY MEXICO SA DE CV</t>
  </si>
  <si>
    <t>FIRMADA</t>
  </si>
  <si>
    <t>DEVOLUCION  8325 | [21/07/2026 11:16 · Reactivación] Etapa 'Destino final' reactivada | [17/08/2026 17:33 · Fernando] Avance en Cuentas por pagar | [17/08/2026 17:57 · Yolanda] Avance en Cuentas por pagar</t>
  </si>
  <si>
    <t>Cuentas por pagar</t>
  </si>
  <si>
    <t>DC-MZ003</t>
  </si>
  <si>
    <t>AXO LIGHT SA DE CV</t>
  </si>
  <si>
    <t>DESTRUCCION NC 42408</t>
  </si>
  <si>
    <t>Destrucción</t>
  </si>
  <si>
    <t>DC-MZ004</t>
  </si>
  <si>
    <t>BAYUSA DE MEXICO S.A DE C.V</t>
  </si>
  <si>
    <t>LUCIA</t>
  </si>
  <si>
    <t>DEVOLUCION</t>
  </si>
  <si>
    <t>Cuarentena</t>
  </si>
  <si>
    <t>Reporte de reclamo</t>
  </si>
  <si>
    <t>DC-MZ005</t>
  </si>
  <si>
    <t>BTICINO DE MEXICO SA DE CV</t>
  </si>
  <si>
    <t>IVAN</t>
  </si>
  <si>
    <t>DC-MZ006</t>
  </si>
  <si>
    <t>CASA MARCUS SA DE CV</t>
  </si>
  <si>
    <t>DESTRUCCION | [21/07/2026 11:22 · Reactivación] Etapa 'Gestión' reactivada | [21/07/2026 11:23 · Yolanda] Etapa 2 TERMINADA · Destrucción → pasa a Cuentas por pagar | [21/07/2026 11:24 · Yolanda] Etapa 3 (Cuentas por pagar) TERMINADA → pasa a Destino final | [21/07/2026 11:31 · Reactivación] Etapa 'Cuentas por pagar' reactivada</t>
  </si>
  <si>
    <t>DC-MZ007</t>
  </si>
  <si>
    <t>COFLEX SA DE CV</t>
  </si>
  <si>
    <t>SILVINO</t>
  </si>
  <si>
    <t>DEVOLUCION 7984</t>
  </si>
  <si>
    <t>DC-MZ008</t>
  </si>
  <si>
    <t>COMPAÑIA MANUFACTURERA HERCO SA DE CV</t>
  </si>
  <si>
    <t>DEVOLUCION 8361</t>
  </si>
  <si>
    <t>DC-MZ009</t>
  </si>
  <si>
    <t>CORPORATIVO BORO SA DE CV</t>
  </si>
  <si>
    <t>DC-MZ010</t>
  </si>
  <si>
    <t>DEACERO S.A.P.I. DE C.V.</t>
  </si>
  <si>
    <t>MARIA VICTORIA</t>
  </si>
  <si>
    <t>DC-MZ011</t>
  </si>
  <si>
    <t>DISTRIBUIDORA TAMEX SAPI DE CV</t>
  </si>
  <si>
    <t>DC-MZ012</t>
  </si>
  <si>
    <t>ESTUFAS DOMESTICAS SAPI DE CV</t>
  </si>
  <si>
    <t>DEVOLUCION 8375</t>
  </si>
  <si>
    <t>DC-MZ013</t>
  </si>
  <si>
    <t>FERREMOVIL DEL NORTE SA DE CV</t>
  </si>
  <si>
    <t>LEONELA</t>
  </si>
  <si>
    <t xml:space="preserve">DESTRUCCION </t>
  </si>
  <si>
    <t>Disposición final</t>
  </si>
  <si>
    <t>DC-MZ014</t>
  </si>
  <si>
    <t>FERRETERA Y MAQUINARIA POSADAS SA  DE CV</t>
  </si>
  <si>
    <t>ARICELIA</t>
  </si>
  <si>
    <t>DC-MZ015</t>
  </si>
  <si>
    <t>FLEXIMATIC  SA DE CV</t>
  </si>
  <si>
    <t>DC-MZ016</t>
  </si>
  <si>
    <t>FUNDICION Y MAQUINARIA SANCHEZ SA DE CV</t>
  </si>
  <si>
    <t>MYRIAM</t>
  </si>
  <si>
    <t xml:space="preserve">DEVOLUCION 34298 </t>
  </si>
  <si>
    <t>DC-MZ017</t>
  </si>
  <si>
    <t>GERARDO SOTO RAMOS</t>
  </si>
  <si>
    <t>DC-MZ018</t>
  </si>
  <si>
    <t>GRUPO COLLADO SA DE CV</t>
  </si>
  <si>
    <t>DC-MZ019</t>
  </si>
  <si>
    <t>GRUPO FORESTAL IND MEXICANO CORPORATIVO SA DE CV</t>
  </si>
  <si>
    <t>ESTELA</t>
  </si>
  <si>
    <t>DC-MZ020</t>
  </si>
  <si>
    <t>HENKEL CAPITAL  SA DE CV</t>
  </si>
  <si>
    <t>JISHELL</t>
  </si>
  <si>
    <t>DC-MZ021</t>
  </si>
  <si>
    <t>IMPORTACIONES ALAMEDA SA DE CV</t>
  </si>
  <si>
    <t>DC-MZ022</t>
  </si>
  <si>
    <t>IMPULSORA INDUSTRIAL MONTERREY,SA DE CV</t>
  </si>
  <si>
    <t>DC-MZ023</t>
  </si>
  <si>
    <t>INDUSTRIAL DE ALAMBRES S.A.  DE C.V.</t>
  </si>
  <si>
    <t>DEVOLUCION 8354</t>
  </si>
  <si>
    <t>DC-MZ024</t>
  </si>
  <si>
    <t>INDUSTRIAL MEXICANA DE HERRAMIENTAS S.A. DE C.V.</t>
  </si>
  <si>
    <t>DEVOLUCION 8302</t>
  </si>
  <si>
    <t>DC-MZ025</t>
  </si>
  <si>
    <t>INDUSTRIAS ADIR SA DE CV</t>
  </si>
  <si>
    <t>DESTRUCCION EN ESPERA DE LA NOTA DE CREDITO</t>
  </si>
  <si>
    <t>DC-MZ026</t>
  </si>
  <si>
    <t>INDUSTRIAS GUTIERREZ  SA DE CV</t>
  </si>
  <si>
    <t>DEVOLUCION 8341</t>
  </si>
  <si>
    <t>DC-MZ027</t>
  </si>
  <si>
    <t>INDUSTRIAS KOLA LOKA SA  DE  CV</t>
  </si>
  <si>
    <t xml:space="preserve">CAMBIO FISICO </t>
  </si>
  <si>
    <t>DC-MZ028</t>
  </si>
  <si>
    <t>INDUSTRIAS PLASTICAS NYC SA  DE CV</t>
  </si>
  <si>
    <t>DESTRUCCION | [21/07/2026 10:02 · Reactivación] Etapa 'Gestión' reactivada | [21/07/2026 10:05 · Yolanda] Ajuste manual de fechas en 'Gestión' · etapa TERMINADA con fecha 06/06/2026 | [21/07/2026 10:05 · Sistema] Recolección vencida → cambia a destrucción | [21/07/2026 10:06 · Corrección] Modalidad de Destino final corregida a 'Recolección'</t>
  </si>
  <si>
    <t>DC-MZ029</t>
  </si>
  <si>
    <t>INDUSTRIAS TAMER, S.A. DE C.V.</t>
  </si>
  <si>
    <t>KARLA</t>
  </si>
  <si>
    <t>DC-MZ030</t>
  </si>
  <si>
    <t>INDUSTRIAS UNIDAS SA DE CV</t>
  </si>
  <si>
    <t>DC-MZ031</t>
  </si>
  <si>
    <t>INTERRUPTORES Y GABINETES ELECTRICOS SA DE CV</t>
  </si>
  <si>
    <t>DEVOLUCION 8359 | [17/08/2026 14:45 · YOLANDA] Etapa Cuentas por pagar TERMINADA · PROCESO FINALIZADO</t>
  </si>
  <si>
    <t>DC-MZ032</t>
  </si>
  <si>
    <t>JAIME GONZALEZ RAMIREZ</t>
  </si>
  <si>
    <t>DEVOLUCION 8335 | [17/08/2026 14:59 · YOLANDA] Etapa Cuentas por pagar TERMINADA · PROCESO FINALIZADO</t>
  </si>
  <si>
    <t>DC-MZ033</t>
  </si>
  <si>
    <t>JESUS ERICK NORIEGA CARMONA</t>
  </si>
  <si>
    <t>DEVOLUCION | [01/09/2026 08:11 · yolanda] Avance en Disposición final | [01/09/2026 08:11 · yolanda] Avance en Disposición final | [01/09/2026 08:13 · yolanda] Avance en Disposición final | [01/09/2026 08:14 · yolanda] Avance en Disposición final | [01/09/2026 08:17 · Yolanda Jeronimo] Avance en Disposición final | [01/09/2026 08:17 · Yolanda Jeronimo] Avance en Disposición final | [01/09/2026 08:18 · Yolanda Jeronimo] Avance en Disposición final | [01/09/2026 08:21 · yolanda] Etapa Disposición final TERMINADA → pasa a Cuentas por pagar | [01/09/2026 08:21 · Yolanda Jeronimo] Etapa Cuentas por pagar TERMINADA · PROCESO FINALIZADO</t>
  </si>
  <si>
    <t>DC-MZ034</t>
  </si>
  <si>
    <t>JUAN HUMBERTO MORENO VASCONCELOS</t>
  </si>
  <si>
    <t>DC-MZ035</t>
  </si>
  <si>
    <t>KLEIMAN DISTRIBUCIONES SA DE CV</t>
  </si>
  <si>
    <t>DEVOLUCION 8345 | [21/07/2026 10:18 · Reactivación] Etapa 'Destino final' reactivada | [21/07/2026 10:19 · Yolanda] Ajuste manual de fechas en 'Destino final' · etapa TERMINADA con fecha 25/06/2026</t>
  </si>
  <si>
    <t>DC-MZ036</t>
  </si>
  <si>
    <t>KWIKSET RESIDENCIAL MEXICO SA DE CV</t>
  </si>
  <si>
    <t>DEVOLUCION 8282</t>
  </si>
  <si>
    <t>DC-MZ037</t>
  </si>
  <si>
    <t>MA. ANTONIA CUMPEAN GUTIERREZ</t>
  </si>
  <si>
    <t>DC-MZ038</t>
  </si>
  <si>
    <t>MAKITA MEXICO SA DE CV</t>
  </si>
  <si>
    <t>DC-MZ039</t>
  </si>
  <si>
    <t>MARIBEL CONTRERAS SOTO</t>
  </si>
  <si>
    <t>DEVOLUCION | [21/07/2026 10:07 · Reactivación] Etapa 'Gestión' reactivada | [21/07/2026 10:08 · Yolanda] Ajuste manual de fechas en 'Gestión' · etapa TERMINADA con fecha 06/07/2026</t>
  </si>
  <si>
    <t>DC-MZ040</t>
  </si>
  <si>
    <t>METALURGICA BALFE SA DE CV</t>
  </si>
  <si>
    <t>DEVOLUCION 8367</t>
  </si>
  <si>
    <t>DC-MZ041</t>
  </si>
  <si>
    <t>MODIS SA DE CV</t>
  </si>
  <si>
    <t>DESTRUCCION</t>
  </si>
  <si>
    <t>DC-MZ042</t>
  </si>
  <si>
    <t>PLASTIC TRENDS S.A.P.I. DE C.V</t>
  </si>
  <si>
    <t>Sin respuesta</t>
  </si>
  <si>
    <t>Gestión</t>
  </si>
  <si>
    <t>DC-MZ043</t>
  </si>
  <si>
    <t>PLASTICOS KYO SA DE CV</t>
  </si>
  <si>
    <t>DC-MZ044</t>
  </si>
  <si>
    <t>PLASTICS TECHNOLOGY DE MEXICO S DE RL DE CV</t>
  </si>
  <si>
    <t>DC-MZ045</t>
  </si>
  <si>
    <t>RUGO SA DE CV</t>
  </si>
  <si>
    <t>DEVOLUCION 8352</t>
  </si>
  <si>
    <t>DC-MZ046</t>
  </si>
  <si>
    <t>SANTUL HERRAMIENTAS SA DE CV</t>
  </si>
  <si>
    <t>DEVOLUCION  8349</t>
  </si>
  <si>
    <t>DC-MZ047</t>
  </si>
  <si>
    <t>TRUPER SA DE CV</t>
  </si>
  <si>
    <t>DEVOLUCION  8274</t>
  </si>
  <si>
    <t>DC-MZ048</t>
  </si>
  <si>
    <t>VALVULAS URREA SA DE CV</t>
  </si>
  <si>
    <t>DEVOLUCION 8334</t>
  </si>
  <si>
    <t>DC-AB001</t>
  </si>
  <si>
    <t>DEVOLUCION 8382 | [17/08/2026 14:56 · YOLANDA] Etapa Cuentas por pagar TERMINADA · PROCESO FINALIZADO</t>
  </si>
  <si>
    <t>DC-AB002</t>
  </si>
  <si>
    <t>DESTRUCCION NC 41151</t>
  </si>
  <si>
    <t>DC-AB003</t>
  </si>
  <si>
    <t>DEVOLUCION | [27/07/2026 13:24 · Corrección] Modalidad de Disposición final corregida a 'Destrucción' | [27/07/2026 14:50 · Yolanda] Ajuste manual de fechas en 'Gestión' · etapa TERMINADA con fecha 26/06/2026</t>
  </si>
  <si>
    <t>DC-AB004</t>
  </si>
  <si>
    <t>DC-AB005</t>
  </si>
  <si>
    <t>DC-AB006</t>
  </si>
  <si>
    <t>DC-AB007</t>
  </si>
  <si>
    <t>DEVOLUCION  8325</t>
  </si>
  <si>
    <t>DC-AB008</t>
  </si>
  <si>
    <t>DEVOLUCION 8350</t>
  </si>
  <si>
    <t>DC-AB009</t>
  </si>
  <si>
    <t>HIGH POWER DE MEXICO, S.A. DE C.V.</t>
  </si>
  <si>
    <t>DC-AB010</t>
  </si>
  <si>
    <t>DC-AB011</t>
  </si>
  <si>
    <t>DC-AB012</t>
  </si>
  <si>
    <t>DC-AB013</t>
  </si>
  <si>
    <t>DEVOLUCION 8345 | [21/07/2026 10:20 · Yolanda] Ajuste manual de fechas en 'Destino final' · etapa TERMINADA con fecha 27/06/2026</t>
  </si>
  <si>
    <t>DC-AB014</t>
  </si>
  <si>
    <t>DC-AB015</t>
  </si>
  <si>
    <t>DC-AB016</t>
  </si>
  <si>
    <t>DEVOLUCION | [21/07/2026 10:10 · Reactivación] Etapa 'Gestión' reactivada | [21/07/2026 10:11 · Yolanda] Ajuste manual de fechas en 'Gestión' | [21/07/2026 10:11 · Yolanda] Ajuste manual de fechas en 'Gestión' · etapa TERMINADA con fecha 06/06/2026 | [21/07/2026 10:14 · Yolanda] Ajuste manual de fechas en 'Gestión' · etapa TERMINADA con fecha 06/06/2026 | [21/07/2026 10:15 · Yolanda] Ajuste manual de fechas en 'Gestión' · etapa TERMINADA con fecha 06/07/2026</t>
  </si>
  <si>
    <t>DC-AB017</t>
  </si>
  <si>
    <t>DC-AB018</t>
  </si>
  <si>
    <t>DC-AB019</t>
  </si>
  <si>
    <t>DC-AB020</t>
  </si>
  <si>
    <t>DEVOLUCION 8330-8274</t>
  </si>
  <si>
    <t>DC-AB021</t>
  </si>
  <si>
    <t>BALTAZAR TORRES HERNANDEZ</t>
  </si>
  <si>
    <t>DC-AB022</t>
  </si>
  <si>
    <t>CNX INTERNACIONAL SA DE CV</t>
  </si>
  <si>
    <t>DEVOLUCION | [01/09/2026 08:36 · yolanda] Etapa Disposición final TERMINADA → pasa a Cuentas por pagar | [01/09/2026 08:40 · yolanda] Avance en Cuentas por pagar</t>
  </si>
  <si>
    <t>DC-AB023</t>
  </si>
  <si>
    <t>CHAPA INDUSTRIAS  SA DE CV</t>
  </si>
  <si>
    <t>DC-AB024</t>
  </si>
  <si>
    <t>ALMET INDUSTRIAL SA DE CV</t>
  </si>
  <si>
    <t>DEVOLUCION 8347</t>
  </si>
  <si>
    <t>DC-AB025</t>
  </si>
  <si>
    <t>FAMA TECHNOLOGY FOUNDRY SA DE CV</t>
  </si>
  <si>
    <t>DC-AB026</t>
  </si>
  <si>
    <t>CALIDAD TOTAL EN CERAMICA SAPI DE CV</t>
  </si>
  <si>
    <t>DC-AB027</t>
  </si>
  <si>
    <t>IND NOVATEK SA DE CV</t>
  </si>
  <si>
    <t>DESTRUCCION NC 36291 | [24/08/2026 13:25 · Yolanda Jeronimo] Etapa Cuentas por pagar TERMINADA · PROCESO FINALIZADO</t>
  </si>
  <si>
    <t>DC-AB030</t>
  </si>
  <si>
    <t>ARISTON SALES MEXICO SA DE CV</t>
  </si>
  <si>
    <t>DC-AB031</t>
  </si>
  <si>
    <t>BLACK &amp; DECKER SA DE CV</t>
  </si>
  <si>
    <t>DC-AB032</t>
  </si>
  <si>
    <t>CPLYWOOD SELECT SA DE CV</t>
  </si>
  <si>
    <t>DC-AB033</t>
  </si>
  <si>
    <t>CUBETAS Y BAÑOS, S.A DE C.V.</t>
  </si>
  <si>
    <t>DC-AB034</t>
  </si>
  <si>
    <t>DC-AB035</t>
  </si>
  <si>
    <t>GERARDO HERNANDEZ CHAVEZ</t>
  </si>
  <si>
    <t xml:space="preserve">DEVOLUCION CANCELADA,SE INGRESO A ALMACEN </t>
  </si>
  <si>
    <t>DC-AB037</t>
  </si>
  <si>
    <t xml:space="preserve">DEVOLUCION </t>
  </si>
  <si>
    <t>DC-AB038</t>
  </si>
  <si>
    <t>DEVOLUCION 8359 | [01/09/2026 08:50 · Yolanda Jeronimo] Avance en Cuentas por pagar | [01/09/2026 08:51 · yolanda] Avance en Cuentas por pagar | [01/09/2026 08:53 · Yolanda Jeronimo] Avance en Cuentas por pagar | [01/09/2026 08:57 · Yolanda Jeronimo] Avance en Cuentas por pagar | [01/09/2026 09:10 · Admin cuarentena] 1 reclamación(es) de INTERRUPTORES Y GABINETES ELECTRICOS SA DE CV liberadas de cuarentena → Reporte de reclamo</t>
  </si>
  <si>
    <t>DC-AB040</t>
  </si>
  <si>
    <t>DC-AB041</t>
  </si>
  <si>
    <t>DEVOLUCION | [01/09/2026 08:23 · yolanda] Avance en Disposición final | [01/09/2026 08:24 · yolanda] Etapa Disposición final TERMINADA → pasa a Cuentas por pagar | [01/09/2026 08:25 · Yolanda Jeronimo] Etapa Cuentas por pagar TERMINADA · PROCESO FINALIZADO</t>
  </si>
  <si>
    <t>DC-AB042</t>
  </si>
  <si>
    <t>DC-AB043</t>
  </si>
  <si>
    <t>PLASTITRIM SA DE CV</t>
  </si>
  <si>
    <t>DC-AB044</t>
  </si>
  <si>
    <t>PRODUCTOS PENNSYLVANIA, S.A. DE  C.V.</t>
  </si>
  <si>
    <t xml:space="preserve">NO PROCEDE,APLICA A OPERACIONES </t>
  </si>
  <si>
    <t>DC-AB045</t>
  </si>
  <si>
    <t>DC-MY001</t>
  </si>
  <si>
    <t>DC-MY004</t>
  </si>
  <si>
    <t>DESTRUCCION | [23/07/2026 16:43 · Yolanda] Ajuste manual de fechas en 'Reporte de reclamo' · etapa TERMINADA con fecha 29/06/2026</t>
  </si>
  <si>
    <t>DC-MY010</t>
  </si>
  <si>
    <t>DEVOLUCION | [01/09/2026 09:53 · Yolanda Jeronimo] Etapa Disposición final TERMINADA → pasa a Cuentas por pagar</t>
  </si>
  <si>
    <t>DC-MY011</t>
  </si>
  <si>
    <t>DC-MY015</t>
  </si>
  <si>
    <t>DC-MY016</t>
  </si>
  <si>
    <t>ELEKTRON DEL BAJIO SA DE CV</t>
  </si>
  <si>
    <t>DC-MY018</t>
  </si>
  <si>
    <t>DC-MY020</t>
  </si>
  <si>
    <t>DC-MY0207</t>
  </si>
  <si>
    <t>DESTRUCCION | [24/08/2026 13:27 · YOLANDA] Etapa Cuentas por pagar TERMINADA · PROCESO FINALIZADO</t>
  </si>
  <si>
    <t>DC-MY024</t>
  </si>
  <si>
    <t>DC-MY028</t>
  </si>
  <si>
    <t>DC-MY030</t>
  </si>
  <si>
    <t>INDUSTRIAS H24 S.A DE C.V.</t>
  </si>
  <si>
    <t>DC-MY031</t>
  </si>
  <si>
    <t>DEVOLUCION 8383</t>
  </si>
  <si>
    <t>DC-MY032</t>
  </si>
  <si>
    <t xml:space="preserve">DESTRUCCION  </t>
  </si>
  <si>
    <t>DC-MY033</t>
  </si>
  <si>
    <t>DC-MY034</t>
  </si>
  <si>
    <t>DEVOLUCION 8359 | [17/08/2026 14:48 · yolanda] Etapa Cuentas por pagar TERMINADA · PROCESO FINALIZADO</t>
  </si>
  <si>
    <t>DC-MY038</t>
  </si>
  <si>
    <t>DEVOLUCION 8345</t>
  </si>
  <si>
    <t>DC-MY039</t>
  </si>
  <si>
    <t>DC-MY040</t>
  </si>
  <si>
    <t>DC-MY043</t>
  </si>
  <si>
    <t>DC-MY052</t>
  </si>
  <si>
    <t>ROTOPLAS SA  DE CV</t>
  </si>
  <si>
    <t>DC-MY053</t>
  </si>
  <si>
    <t>DC-MY054</t>
  </si>
  <si>
    <t>DC-MY057</t>
  </si>
  <si>
    <t>DEVOLUCION 8330</t>
  </si>
  <si>
    <t>DC-MY059</t>
  </si>
  <si>
    <t>DC-JN001</t>
  </si>
  <si>
    <t>DC-JN002</t>
  </si>
  <si>
    <t>DC-JN003</t>
  </si>
  <si>
    <t>DC-JN004</t>
  </si>
  <si>
    <t>DC-JN005</t>
  </si>
  <si>
    <t>DC-JN006</t>
  </si>
  <si>
    <t>DEVOLUCION | [01/09/2026 09:56 · yolanda] Etapa Disposición final TERMINADA → pasa a Cuentas por pagar</t>
  </si>
  <si>
    <t>DC-JN008</t>
  </si>
  <si>
    <t>DC-JN009</t>
  </si>
  <si>
    <t>EQUIPOS COREANOS SA DE CV</t>
  </si>
  <si>
    <t>DEVOLUCION 8384</t>
  </si>
  <si>
    <t>DC-JN012</t>
  </si>
  <si>
    <t>DC-JN013</t>
  </si>
  <si>
    <t>DEVOLUCION 8319</t>
  </si>
  <si>
    <t>DC-JN014</t>
  </si>
  <si>
    <t>DC-JN015</t>
  </si>
  <si>
    <t>DEVOLUCION | [01/09/2026 10:07 · yolanda] Etapa Disposición final TERMINADA → pasa a Cuentas por pagar</t>
  </si>
  <si>
    <t>DC-JN016</t>
  </si>
  <si>
    <t>DC-JN017</t>
  </si>
  <si>
    <t>DC-JN018</t>
  </si>
  <si>
    <t>DEVOLUCION 8374</t>
  </si>
  <si>
    <t>DC-JN019</t>
  </si>
  <si>
    <t>DC-JN022</t>
  </si>
  <si>
    <t>DC-JN023</t>
  </si>
  <si>
    <t>DC-JN026</t>
  </si>
  <si>
    <t>DC-JN027</t>
  </si>
  <si>
    <t>DC-JN028</t>
  </si>
  <si>
    <t>DC-JN029</t>
  </si>
  <si>
    <t>DC-JN033</t>
  </si>
  <si>
    <t>MU MECANICOS UNIDOS SAS</t>
  </si>
  <si>
    <t>DC-JN034</t>
  </si>
  <si>
    <t>NORAGE SA DE CV</t>
  </si>
  <si>
    <t>DC-JN035</t>
  </si>
  <si>
    <t>DC-JN036</t>
  </si>
  <si>
    <t>DC-JN039</t>
  </si>
  <si>
    <t>DEVOLUCION  8378</t>
  </si>
  <si>
    <t>DC-JN040</t>
  </si>
  <si>
    <t>BASCULAS NUEVO LEON SA DE CV</t>
  </si>
  <si>
    <t>DC-JN041</t>
  </si>
  <si>
    <t>DEVOLUCION 8359 | [17/08/2026 14:49 · YOLANDA] Etapa Cuentas por pagar TERMINADA · PROCESO FINALIZADO</t>
  </si>
  <si>
    <t>DC-JN042</t>
  </si>
  <si>
    <t>DC-JL001</t>
  </si>
  <si>
    <t>[25/08/2026 08:36 · Francisco] Etapa 1 (Reporte de reclamo) TERMINADA → pasa a Gestión | [25/08/2026 08:51 · Francisco] Etapa 2 TERMINADA · Recolección → pasa a Disposición final | [29/08/2026 13:14 · Francisco] Etapa Disposición final TERMINADA → pasa a Cuentas por pagar</t>
  </si>
  <si>
    <t>Francisco</t>
  </si>
  <si>
    <t>DC-JL038</t>
  </si>
  <si>
    <t>[25/08/2026 08:53 · Francisco] Etapa 1 (Reporte de reclamo) TERMINADA → pasa a Gestión | [29/08/2026 13:02 · Francisco] Etapa 2 TERMINADA · Destrucción → pasa a Disposición final</t>
  </si>
  <si>
    <t>DC-JL003</t>
  </si>
  <si>
    <t>[25/08/2026 08:54 · Francisco] Etapa 1 (Reporte de reclamo) TERMINADA → pasa a Gestión | [29/08/2026 13:03 · Francisco] Avance en Gestión</t>
  </si>
  <si>
    <t>DC-JL047</t>
  </si>
  <si>
    <t>DC-JL025</t>
  </si>
  <si>
    <t>DC-JL011</t>
  </si>
  <si>
    <t>DC-JL015</t>
  </si>
  <si>
    <t>DC-JL027</t>
  </si>
  <si>
    <t>DC-JL007</t>
  </si>
  <si>
    <t>DC-JL029</t>
  </si>
  <si>
    <t>DC-JL051</t>
  </si>
  <si>
    <t>DC-JL008</t>
  </si>
  <si>
    <t>DC-JL019</t>
  </si>
  <si>
    <t>DC-JL016</t>
  </si>
  <si>
    <t>DC-JL017</t>
  </si>
  <si>
    <t>DC-JL039</t>
  </si>
  <si>
    <t>DC-JL014</t>
  </si>
  <si>
    <t>DC-JL050</t>
  </si>
  <si>
    <t>[25/08/2026 08:33 · Francisco] Etapa 1 (Reporte de reclamo) TERMINADA → pasa a Gestión | [25/08/2026 08:55 · Francisco] Etapa 2 TERMINADA · Recolección → pasa a Disposición final | [29/08/2026 13:06 · Francisco] Etapa Disposición final TERMINADA → pasa a Cuentas por pagar | [01/09/2026 10:14 · yolanda] Avance en Cuentas por pagar</t>
  </si>
  <si>
    <t>DC-JL053</t>
  </si>
  <si>
    <t>MASTERCIM INDUSTRIAL S.A DE C.V</t>
  </si>
  <si>
    <t>DC-JL030</t>
  </si>
  <si>
    <t>DC-JL046</t>
  </si>
  <si>
    <t>DC-JL052</t>
  </si>
  <si>
    <t>BELLOTA MEXICO SA DE CV</t>
  </si>
  <si>
    <t>DC-JL020</t>
  </si>
  <si>
    <t>DC-JL031</t>
  </si>
  <si>
    <t>DC-JL048</t>
  </si>
  <si>
    <t>DC-JL036</t>
  </si>
  <si>
    <t>DC-JL004</t>
  </si>
  <si>
    <t>DC-JL023</t>
  </si>
  <si>
    <t>DC-JL045</t>
  </si>
  <si>
    <t>ROSALVA HERNANDEZ ANGUIANO</t>
  </si>
  <si>
    <t>DC-JL043</t>
  </si>
  <si>
    <t>DC-JL042</t>
  </si>
  <si>
    <t>DC-JL040</t>
  </si>
  <si>
    <t>DC-JL035</t>
  </si>
  <si>
    <t>JOSE LUIS HERNANDEZ BARRANCO</t>
  </si>
  <si>
    <t>DC-JL028</t>
  </si>
  <si>
    <t>DC-JL024</t>
  </si>
  <si>
    <t>INDUSTRIAL DE TERMINALES, S.A. DE C.V.</t>
  </si>
  <si>
    <t>[01/09/2026 10:16 · Admin cuarentena] Duración de cuarentena de INDUSTRIAL DE TERMINALES, S.A. DE C.V. ajustada a 29 días | [01/09/2026 10:16 · Admin cuarentena] 1 reclamación(es) de INDUSTRIAL DE TERMINALES, S.A. DE C.V. liberadas de cuarentena → Reporte de reclamo | [01/09/2026 10:18 · yolanda] Etapa 1 (Reporte de reclamo) TERMINADA → pasa a Gestión | [01/09/2026 10:18 · yolanda] Etapa 2 TERMINADA · Recolección → pasa a Disposición final | [01/09/2026 10:19 · yolanda] Etapa Disposición final TERMINADA → pasa a Cuentas por pagar</t>
  </si>
  <si>
    <t>DC-JL026</t>
  </si>
  <si>
    <t>[25/08/2026 08:56 · Francisco] Etapa 1 (Reporte de reclamo) TERMINADA → pasa a Gestión</t>
  </si>
  <si>
    <t>DC-JL022</t>
  </si>
  <si>
    <t>DC-JL013</t>
  </si>
  <si>
    <t>DISTRIBUIDORA DE COTIJA S DE RL DE CV</t>
  </si>
  <si>
    <t>DC-JL012</t>
  </si>
  <si>
    <t>DC-JL010</t>
  </si>
  <si>
    <t>COMERCIALIZADORA MARVEL SA DE CV</t>
  </si>
  <si>
    <t>DC-JL006</t>
  </si>
  <si>
    <t>DC-JL005</t>
  </si>
  <si>
    <t>DC-JL002</t>
  </si>
  <si>
    <t>ALEJANDRO MARTINEZ PEÑA</t>
  </si>
  <si>
    <t>DC-JL056</t>
  </si>
  <si>
    <t>DELIA ESTELA ALCALA LEPE</t>
  </si>
  <si>
    <t>DC-JL055</t>
  </si>
  <si>
    <t>BROCHAS Y PRODUCTOS S DE RL DE CV</t>
  </si>
  <si>
    <t>DC-JL054</t>
  </si>
  <si>
    <t>DC-JL021</t>
  </si>
  <si>
    <t>[01/09/2026 10:11 · Yolanda] Etapa 1 (Reporte de reclamo) TERMINADA → pasa a Gestión | [01/09/2026 10:12 · yolanda] Etapa 2 TERMINADA · Recolección → pasa a Disposición final | [01/09/2026 10:13 · yolanda] Etapa Disposición final TERMINADA → pasa a Cuentas por pagar</t>
  </si>
  <si>
    <t>DC-JL037</t>
  </si>
  <si>
    <t>DC-JL032</t>
  </si>
  <si>
    <t>DC-AG011</t>
  </si>
  <si>
    <t>DC-AG010</t>
  </si>
  <si>
    <t>DC-AG009</t>
  </si>
  <si>
    <t>CEMIX MEXICO SA DE CV</t>
  </si>
  <si>
    <t>DC-AG007</t>
  </si>
  <si>
    <t>DC-AG005</t>
  </si>
  <si>
    <t>DC-AG004</t>
  </si>
  <si>
    <t>DC-AG001</t>
  </si>
  <si>
    <t>DC-AG068</t>
  </si>
  <si>
    <t>KILLMAX SA DE CV</t>
  </si>
  <si>
    <t>DC-AG067</t>
  </si>
  <si>
    <t>DC-AG066</t>
  </si>
  <si>
    <t>DC-AG065</t>
  </si>
  <si>
    <t>DC-AG064</t>
  </si>
  <si>
    <t>DC-AG016</t>
  </si>
  <si>
    <t>DC-AG020</t>
  </si>
  <si>
    <t>DC-AG063</t>
  </si>
  <si>
    <t>DC-AG062</t>
  </si>
  <si>
    <t>RAUL ALONSO REYNOSO PADILLA</t>
  </si>
  <si>
    <t>DC-AG060</t>
  </si>
  <si>
    <t>DC-AG061</t>
  </si>
  <si>
    <t>PERFIHERRAJES IMMSA SA DE CV</t>
  </si>
  <si>
    <t>DC-AG021</t>
  </si>
  <si>
    <t>DC-AG038</t>
  </si>
  <si>
    <t>DC-AG041</t>
  </si>
  <si>
    <t>DC-AG002</t>
  </si>
  <si>
    <t>DC-AG018</t>
  </si>
  <si>
    <t>DC-AG039</t>
  </si>
  <si>
    <t>DC-AG050</t>
  </si>
  <si>
    <t>DC-AG033</t>
  </si>
  <si>
    <t>DC-AG022</t>
  </si>
  <si>
    <t>HUJUETA SA DE CV</t>
  </si>
  <si>
    <t>DC-AG044</t>
  </si>
  <si>
    <t>DC-AG028</t>
  </si>
  <si>
    <t>DC-AG006</t>
  </si>
  <si>
    <t>DC-AG008</t>
  </si>
  <si>
    <t>DC-AG012</t>
  </si>
  <si>
    <t>DC-AG042</t>
  </si>
  <si>
    <t>DC-AG003</t>
  </si>
  <si>
    <t>DC-AG024</t>
  </si>
  <si>
    <t>DC-AG025</t>
  </si>
  <si>
    <t>DC-AG017</t>
  </si>
  <si>
    <t>DC-AG049</t>
  </si>
  <si>
    <t>DC-AG048</t>
  </si>
  <si>
    <t>TORNIMASTER SA DE CV</t>
  </si>
  <si>
    <t>DC-AG046</t>
  </si>
  <si>
    <t>MAXXIAMERICA MEXICO INDUSTRIAL S.A. DE C.V.</t>
  </si>
  <si>
    <t>DC-AG045</t>
  </si>
  <si>
    <t>DC-AG037</t>
  </si>
  <si>
    <t>PINTURAS BEREL SA DE CV</t>
  </si>
  <si>
    <t>DC-AG036</t>
  </si>
  <si>
    <t>DC-AG035</t>
  </si>
  <si>
    <t>DC-AG034</t>
  </si>
  <si>
    <t>DC-AG032</t>
  </si>
  <si>
    <t>DC-AG031</t>
  </si>
  <si>
    <t>DC-AG030</t>
  </si>
  <si>
    <t>DC-AG029</t>
  </si>
  <si>
    <t>DC-AG027</t>
  </si>
  <si>
    <t>DC-AG026</t>
  </si>
  <si>
    <t>DC-AG023</t>
  </si>
  <si>
    <t>DC-AG019</t>
  </si>
  <si>
    <t>DC-AG015</t>
  </si>
  <si>
    <t>DC-AG014</t>
  </si>
  <si>
    <t>DC-AG013</t>
  </si>
  <si>
    <t>FOLIO DEVOLUCION</t>
  </si>
  <si>
    <t>FOLIO AJUSTE</t>
  </si>
  <si>
    <t>NOTA CREDITO</t>
  </si>
  <si>
    <t>Folio</t>
  </si>
  <si>
    <t>Fecha</t>
  </si>
  <si>
    <t>Proveedor</t>
  </si>
  <si>
    <t>Inventario</t>
  </si>
  <si>
    <t>Compras</t>
  </si>
  <si>
    <t>Tipo</t>
  </si>
  <si>
    <t>Subtotal</t>
  </si>
  <si>
    <t>I.V.A.</t>
  </si>
  <si>
    <t>Total</t>
  </si>
  <si>
    <t>PENDIENTE POR DESCONTAR</t>
  </si>
  <si>
    <t>APLICADO</t>
  </si>
  <si>
    <t>Moneda</t>
  </si>
  <si>
    <t>Paridad</t>
  </si>
  <si>
    <t>Aplicado</t>
  </si>
  <si>
    <t>Fecha descuento</t>
  </si>
  <si>
    <t>Ejecutivo</t>
  </si>
  <si>
    <t>Comprador</t>
  </si>
  <si>
    <t xml:space="preserve">Resolucion </t>
  </si>
  <si>
    <t>Devolucion cliente saldo a favor</t>
  </si>
  <si>
    <t>Devolucion proveedor - Recepcion de mercancia</t>
  </si>
  <si>
    <t>MARYLYNN MICHELINE FRANCINE PANTIN LUTSEN</t>
  </si>
  <si>
    <t>PESOS</t>
  </si>
  <si>
    <t>Pendiente</t>
  </si>
  <si>
    <t>Onnehy</t>
  </si>
  <si>
    <t>Citlallli</t>
  </si>
  <si>
    <t>Ya tenemos la nota de credito, pero no tenemos relacion comercial con el proveedor, es saldo a favor , en una proxima compra se descuenta</t>
  </si>
  <si>
    <t>Consignacion</t>
  </si>
  <si>
    <t>FERRETERA Y MAQUINARIA POSADAS SA DE CV</t>
  </si>
  <si>
    <t>Aricelia</t>
  </si>
  <si>
    <t>Pendiente reparacion garantia</t>
  </si>
  <si>
    <t>Clientes</t>
  </si>
  <si>
    <t>Pendinte reparacion garancia</t>
  </si>
  <si>
    <t>11/05 - 24/06  2026</t>
  </si>
  <si>
    <t>Jishell</t>
  </si>
  <si>
    <t>Pendiente descontar $ 117,180.72</t>
  </si>
  <si>
    <t>11/05- 24/06 2026</t>
  </si>
  <si>
    <t>Pendiente descontar $ 214,915.31</t>
  </si>
  <si>
    <t>GALVATUBING S.A. DE C.V.</t>
  </si>
  <si>
    <t xml:space="preserve">PESOS </t>
  </si>
  <si>
    <t>Victoria</t>
  </si>
  <si>
    <t xml:space="preserve">Ya se envio carta al proveedor para devolucion </t>
  </si>
  <si>
    <t xml:space="preserve">Desc en t/167171 </t>
  </si>
  <si>
    <t>Anticipado</t>
  </si>
  <si>
    <t>PERFILES Y HERRAJES VARGAS SA DE CV</t>
  </si>
  <si>
    <t>Desc $ 2045.63 en t/167299  , el material que no procede se devolvio pend que compartan ajuste de entrada</t>
  </si>
  <si>
    <t>Desc $ 6998.76  t/168880 pend mat garantias que ya devolvio el proveedor , revision por compras</t>
  </si>
  <si>
    <t xml:space="preserve">Hannia </t>
  </si>
  <si>
    <t>Desc f/348834718 t/169782 pend $ 2116.86 no procedio , lo van a devolver ( se envio correo a compras el 31 de agosto)</t>
  </si>
  <si>
    <t>Pago anticipado</t>
  </si>
  <si>
    <t>Silvino</t>
  </si>
  <si>
    <t>Desc fact 206916 $ 14,186.16  t/172090 pend $ 192.29  ( ya se envio correo al proveedor solicitando la nc)</t>
  </si>
  <si>
    <t>Myriam</t>
  </si>
  <si>
    <t>Pendiente ( se envio correo 31de agosto)</t>
  </si>
  <si>
    <t>Karla</t>
  </si>
  <si>
    <t>Desc t/172551 ( pend descontar material que no procede  se devuelve)</t>
  </si>
  <si>
    <t>Desc f/5f751644 01 sept t/174921</t>
  </si>
  <si>
    <t>Pendiente descontar , el comprador quedo en revisarlo con el proveedor</t>
  </si>
  <si>
    <t>CLIENTE</t>
  </si>
  <si>
    <t>WORLD KOREI CORPORATION S.A. DE C.V.</t>
  </si>
  <si>
    <t>pendiente</t>
  </si>
  <si>
    <t>Pendiente descontar ( se envio correo al proveedor, contestacion que esta en revision)</t>
  </si>
  <si>
    <t>POCHTECA MATERIAS PRIMAS, S.A. DE C.V.</t>
  </si>
  <si>
    <t>Miriam</t>
  </si>
  <si>
    <t>Pendiente descontar, no hubo pagos en julio ya tenemos nc 1223 $ 18,948.60 nc 1221 $ 17,226.00 nc 1222 $ 24,116.40</t>
  </si>
  <si>
    <t>Credito</t>
  </si>
  <si>
    <t>13 mayo - 10 julio</t>
  </si>
  <si>
    <t>Lucia</t>
  </si>
  <si>
    <t>Desc $ 688.27 f/20648, f/20835</t>
  </si>
  <si>
    <t>Pendiente cambio fisico</t>
  </si>
  <si>
    <t>Se descuenta en un pago de septiembre 03 septiembre solicitud 223118</t>
  </si>
  <si>
    <t>Pendiente en revision por el proveedor</t>
  </si>
  <si>
    <t>Desc $ 3647.24 t/174191  pend $ 4321.04 (reparaciones)</t>
  </si>
  <si>
    <t>SARA RIVIELLO MONTERO</t>
  </si>
  <si>
    <t>Blanca</t>
  </si>
  <si>
    <t>pendiente cambio fisico</t>
  </si>
  <si>
    <t>?</t>
  </si>
  <si>
    <t>SAYER LACK MEXICANA  SA DE CV</t>
  </si>
  <si>
    <t>Hannia</t>
  </si>
  <si>
    <t xml:space="preserve">desc f/0f017726 </t>
  </si>
  <si>
    <t>29- 30 julio</t>
  </si>
  <si>
    <t xml:space="preserve">desc t/173669 , 173666  </t>
  </si>
  <si>
    <t>se descuenta en una pago de septiembre  f/ef9bc12d</t>
  </si>
  <si>
    <t>pendiente en revision por el proveedor</t>
  </si>
  <si>
    <t>CIA SHERWIN WILLIAMS SA DE CV</t>
  </si>
  <si>
    <t>APLICADA</t>
  </si>
  <si>
    <t>COSTEADA</t>
  </si>
  <si>
    <t>DEVOLUCION GENERAL</t>
  </si>
  <si>
    <t>Karla Anaid</t>
  </si>
  <si>
    <t>TONY TIENDAS S.A. DE C.V.</t>
  </si>
  <si>
    <t>Sandra</t>
  </si>
  <si>
    <t>Descontado en septiembre</t>
  </si>
  <si>
    <t>Desc F/310906</t>
  </si>
  <si>
    <t>Desc F/AO1303-94118</t>
  </si>
  <si>
    <t>DESCONTADA</t>
  </si>
  <si>
    <t>Desc f/1306</t>
  </si>
  <si>
    <t>PINTURAS MEXICANAS DE PUEBLA SA DE CV</t>
  </si>
  <si>
    <t>Desc f/C1956/D-0552/60982</t>
  </si>
  <si>
    <t>Desc f/AO1305</t>
  </si>
  <si>
    <t>Desc f/D-0544, pend una parte de f/D-0574</t>
  </si>
  <si>
    <t>HERRAMIENTAS IXL, S.A. DE C.V.</t>
  </si>
  <si>
    <t>Desc f/21136</t>
  </si>
  <si>
    <t>CAMBIO FÍS</t>
  </si>
  <si>
    <t>CAMBIO FISICO</t>
  </si>
  <si>
    <t>cambio fisico ajuste 48346</t>
  </si>
  <si>
    <t>MURANO ARTE EN RECUBRIMIENTOS SA DE CV</t>
  </si>
  <si>
    <t>Pendiente aplicar facturas que no se han pagado</t>
  </si>
  <si>
    <t>Desc f/174864</t>
  </si>
  <si>
    <t>Desc $ 1150.52 pend $ 24,046.61</t>
  </si>
  <si>
    <t>Desc f/c1973/c1974/b0177</t>
  </si>
  <si>
    <t>CERCAMEX, S.A. DE C.V.</t>
  </si>
  <si>
    <t>Desc f/481837$ 11.92, f/481816 $ 491.41 f/477653 $ 87.79</t>
  </si>
  <si>
    <t>Ivan</t>
  </si>
  <si>
    <t>Desc f/112137830101123783009</t>
  </si>
  <si>
    <t>FOLIO DE ENTRADA</t>
  </si>
  <si>
    <t>FECHA FACTURA</t>
  </si>
  <si>
    <t>FOLIO FISCAL</t>
  </si>
  <si>
    <t>NUM. FACTURA</t>
  </si>
  <si>
    <t>IMPORTE FACTURA</t>
  </si>
  <si>
    <t>IMPORTE DE LA NC PENDIENTE POR TIMBRAR</t>
  </si>
  <si>
    <t>FALTANTE EN RECIBO (IMPORTE</t>
  </si>
  <si>
    <t>POR DEVOLUCION</t>
  </si>
  <si>
    <t>REBATE (IMPORTE)</t>
  </si>
  <si>
    <t>DIFERENCIA EN PRECIO (IMPORTE)</t>
  </si>
  <si>
    <t>DESCUENTO PP (IMPORTE)</t>
  </si>
  <si>
    <t>FLETE</t>
  </si>
  <si>
    <t>OTROS DESC. POR APOYOS  ESPECIALES</t>
  </si>
  <si>
    <t>SUMA DE NOTAS DE CREDITO</t>
  </si>
  <si>
    <t xml:space="preserve">IMPORTE APLICACIÓN NC </t>
  </si>
  <si>
    <t>FECHA DE LA NC</t>
  </si>
  <si>
    <t>FOLIO</t>
  </si>
  <si>
    <t>OBSERVACIONES , QUE SE ESTA REALIZANDO PARA QUE NOS EMITAN LA NC</t>
  </si>
  <si>
    <t xml:space="preserve">EJECUTIVA </t>
  </si>
  <si>
    <t xml:space="preserve">COMPRADOR </t>
  </si>
  <si>
    <t>4EE46A8B</t>
  </si>
  <si>
    <t>Aceros Retek, S de RL de CV</t>
  </si>
  <si>
    <t>SE GESTIONA CON COMPRAS YA QUE EL PROVEEDOR NO ACEPTO EL DESCUENTO</t>
  </si>
  <si>
    <t>ONNEHY</t>
  </si>
  <si>
    <t>9539E67F</t>
  </si>
  <si>
    <t>Alstec, SA CV</t>
  </si>
  <si>
    <t>YA SE SOLICITO POR CORREO</t>
  </si>
  <si>
    <t>HANNIA</t>
  </si>
  <si>
    <t>704B5D35</t>
  </si>
  <si>
    <t>Dal-Tile Mexico comercial, SA de CV</t>
  </si>
  <si>
    <t>ALEJANDRO</t>
  </si>
  <si>
    <t>1D5DD7F3</t>
  </si>
  <si>
    <t>ADCAA6F2</t>
  </si>
  <si>
    <t>7F9EDA6D</t>
  </si>
  <si>
    <t>85C5E7FA</t>
  </si>
  <si>
    <t>8AC21A82</t>
  </si>
  <si>
    <t>C6D7D6CF</t>
  </si>
  <si>
    <t>B87A7D06</t>
  </si>
  <si>
    <t>EB4D6CEB</t>
  </si>
  <si>
    <t>362D9C49</t>
  </si>
  <si>
    <t>6D926ABB</t>
  </si>
  <si>
    <t>6F03F30A</t>
  </si>
  <si>
    <t>Ferretera Central del Golfo, SA CV</t>
  </si>
  <si>
    <t>ADELINA</t>
  </si>
  <si>
    <t>186D49F2</t>
  </si>
  <si>
    <t>DA54CE86</t>
  </si>
  <si>
    <t>695CD8C5</t>
  </si>
  <si>
    <t>41EE65F7</t>
  </si>
  <si>
    <t>D7BDDB9E</t>
  </si>
  <si>
    <t>DA1FF33D</t>
  </si>
  <si>
    <t>EC369CA2</t>
  </si>
  <si>
    <t>83ede653</t>
  </si>
  <si>
    <t>Ferreteria y Maquinaria Posadas, SA de CV</t>
  </si>
  <si>
    <t>YA SE SOLICITARON POR CORREO</t>
  </si>
  <si>
    <t>GABRIEL</t>
  </si>
  <si>
    <t>18eea8aa</t>
  </si>
  <si>
    <t>Ind. Novatek SA CV</t>
  </si>
  <si>
    <t xml:space="preserve">SE VOLVIO A MANDAR CORREO SOLICITANDO LA  NOTA DE CREDITO, LO ESTA REVISANDO EL PROVEEDOR </t>
  </si>
  <si>
    <t>570D4D08</t>
  </si>
  <si>
    <t>Industrias Presto, SA CV</t>
  </si>
  <si>
    <t>SE TIMBRO EN SEPTIEMBRE</t>
  </si>
  <si>
    <t>JAQUELINE</t>
  </si>
  <si>
    <t>40F39B2C</t>
  </si>
  <si>
    <t>Industrias Unidas, SA CV</t>
  </si>
  <si>
    <t>SE GESTIONA CON EL PROVEEDOR POR CORREOS Y LLAMADAS TELEFONICAS</t>
  </si>
  <si>
    <t>C2DF20F0</t>
  </si>
  <si>
    <t>D99B429C</t>
  </si>
  <si>
    <t>5446661C</t>
  </si>
  <si>
    <t>374D84F9</t>
  </si>
  <si>
    <t>39A3D6B9</t>
  </si>
  <si>
    <t>9F4FB36A</t>
  </si>
  <si>
    <t>110830ED</t>
  </si>
  <si>
    <t>01B14250</t>
  </si>
  <si>
    <t>DFB596B3</t>
  </si>
  <si>
    <t>E670F590</t>
  </si>
  <si>
    <t>D48FF29B</t>
  </si>
  <si>
    <t>61FCB7B0</t>
  </si>
  <si>
    <t>Jaime Gonzalez Ramirez</t>
  </si>
  <si>
    <t>498B17A3</t>
  </si>
  <si>
    <t>Papalotes Felizardo Elizondo Guajuardo, SA CV</t>
  </si>
  <si>
    <t>VICTORIA</t>
  </si>
  <si>
    <t>8b2d7939</t>
  </si>
  <si>
    <t>C1D3C247</t>
  </si>
  <si>
    <t>04b194c9</t>
  </si>
  <si>
    <t>Pinturas Valmex, SA de CV</t>
  </si>
  <si>
    <t>90CC1356</t>
  </si>
  <si>
    <t>Porcelanite Lamosa, SA CV</t>
  </si>
  <si>
    <t>YA SE SOLICITARON POR CORREO Y LLAMADA AL PROVEEDOR</t>
  </si>
  <si>
    <t>D58E79E4</t>
  </si>
  <si>
    <t>7692DC91</t>
  </si>
  <si>
    <t>C7336A7A</t>
  </si>
  <si>
    <t>952FBE99</t>
  </si>
  <si>
    <t>AD805E42</t>
  </si>
  <si>
    <t>A7BE7F0E</t>
  </si>
  <si>
    <t>B98545BE</t>
  </si>
  <si>
    <t>0C95672A</t>
  </si>
  <si>
    <t>759f7639</t>
  </si>
  <si>
    <t>Tornimaster, SA CV</t>
  </si>
  <si>
    <t>SE HAN ESTADO GESTIONANDO POR CORREO AL PROVEEDOR</t>
  </si>
  <si>
    <t>KARLA ANAID</t>
  </si>
  <si>
    <t>66ee927e</t>
  </si>
  <si>
    <t>736b1991</t>
  </si>
  <si>
    <t xml:space="preserve"> </t>
  </si>
  <si>
    <t>31850189-2</t>
  </si>
  <si>
    <t>284651-403528</t>
  </si>
  <si>
    <t>CAB2A3D8-2</t>
  </si>
  <si>
    <t>284652-403529</t>
  </si>
  <si>
    <t>CD1DD451-1</t>
  </si>
  <si>
    <t>285790-405086</t>
  </si>
  <si>
    <t>4D0CB0A6-2</t>
  </si>
  <si>
    <t>285780-405075</t>
  </si>
  <si>
    <t>CD1DD451-3</t>
  </si>
  <si>
    <t>66cb6dd2</t>
  </si>
  <si>
    <t>286112-405507</t>
  </si>
  <si>
    <t>8d82960a</t>
  </si>
  <si>
    <t>287648-407611</t>
  </si>
  <si>
    <t>485361dc</t>
  </si>
  <si>
    <t>291870-413700</t>
  </si>
  <si>
    <t>8049abb2</t>
  </si>
  <si>
    <t>292052-413959</t>
  </si>
  <si>
    <t>0b528418</t>
  </si>
  <si>
    <t>292731-414841</t>
  </si>
  <si>
    <t>0fbb08fb</t>
  </si>
  <si>
    <t>292733-414843</t>
  </si>
  <si>
    <t>e43bc238</t>
  </si>
  <si>
    <t>292928-415135</t>
  </si>
  <si>
    <t>4f627f49</t>
  </si>
  <si>
    <t>294459-417153</t>
  </si>
  <si>
    <t>29e75d48</t>
  </si>
  <si>
    <t>295131-418135</t>
  </si>
  <si>
    <t>83eeafc3</t>
  </si>
  <si>
    <t>295133-418139</t>
  </si>
  <si>
    <t>0BC4499C</t>
  </si>
  <si>
    <t>Aceros Roscado, SA CV</t>
  </si>
  <si>
    <t xml:space="preserve">YA SE SOLICITARON AL PROVEEDOR </t>
  </si>
  <si>
    <t>F309BCF7</t>
  </si>
  <si>
    <t>Energizer de Mexico, S de RL de  CV</t>
  </si>
  <si>
    <t>23/04/2026</t>
  </si>
  <si>
    <t>ed836f1f</t>
  </si>
  <si>
    <t>Jose Covarrubias Rubio</t>
  </si>
  <si>
    <t>02/07/2026</t>
  </si>
  <si>
    <t>ff93c286</t>
  </si>
  <si>
    <t>Kwikset Residencial  Mexico, SA CV</t>
  </si>
  <si>
    <t>10/07/2026</t>
  </si>
  <si>
    <t>8643526b</t>
  </si>
  <si>
    <t>17/07/2026</t>
  </si>
  <si>
    <t>140ad283</t>
  </si>
  <si>
    <t>0773B1A2</t>
  </si>
  <si>
    <t>a584ff93</t>
  </si>
  <si>
    <t>16/07/2026</t>
  </si>
  <si>
    <t>9b3645c9</t>
  </si>
  <si>
    <t>18/07/2026</t>
  </si>
  <si>
    <t>4ef28605</t>
  </si>
  <si>
    <t>24/06/2026</t>
  </si>
  <si>
    <t>159dce86</t>
  </si>
  <si>
    <t>09/06/2026</t>
  </si>
  <si>
    <t>18b10f42</t>
  </si>
  <si>
    <t>Makita Mexico,SA</t>
  </si>
  <si>
    <t>19/06/2026</t>
  </si>
  <si>
    <t>0f14c115</t>
  </si>
  <si>
    <t>28/07/2026</t>
  </si>
  <si>
    <t>262b612e</t>
  </si>
  <si>
    <t>7EDA143C</t>
  </si>
  <si>
    <t>9869A00F</t>
  </si>
  <si>
    <t>Santul Herramientas, SA CV</t>
  </si>
  <si>
    <t>60cc7939</t>
  </si>
  <si>
    <t>9b21d817</t>
  </si>
  <si>
    <t>d26aa9e7</t>
  </si>
  <si>
    <t>330ad159</t>
  </si>
  <si>
    <t>22/04/2026</t>
  </si>
  <si>
    <t>6efcda6a</t>
  </si>
  <si>
    <t>Solucion Total p&amp;P, SA CV</t>
  </si>
  <si>
    <t>699852C8</t>
  </si>
  <si>
    <t>Stabilit Servicios, SA CV</t>
  </si>
  <si>
    <t>35D5AF01</t>
  </si>
  <si>
    <t>Triva Tecstatic</t>
  </si>
  <si>
    <t>JULISSA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</si>
</sst>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yyyy\-mm\-dd\ hh:mm:ss"/>
    <numFmt numFmtId="165" formatCode="yyyy\-mm\-dd"/>
    <numFmt numFmtId="166" formatCode="#,##0.000000"/>
    <numFmt numFmtId="167" formatCode="[$$-80A]#,##0.00"/>
    <numFmt numFmtId="168" formatCode="[$$-80A]#,##0.00;[$$-80A]\-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"/>
      <family val="2"/>
    </font>
    <font>
      <sz val="10"/>
      <color rgb="FFFF0000"/>
      <name val="Aptos"/>
      <family val="2"/>
    </font>
    <font>
      <b/>
      <sz val="10"/>
      <color theme="1"/>
      <name val="Aptos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indexed="8"/>
      <name val="Calibri"/>
      <family val="2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/>
  </cellStyleXfs>
  <cellXfs count="6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44" fontId="3" fillId="0" borderId="0" xfId="1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44" fontId="3" fillId="0" borderId="0" xfId="1" applyFont="1" applyAlignment="1">
      <alignment horizontal="center" vertical="center"/>
    </xf>
    <xf numFmtId="166" fontId="3" fillId="0" borderId="0" xfId="0" applyNumberFormat="1" applyFont="1" applyAlignment="1">
      <alignment vertical="top"/>
    </xf>
    <xf numFmtId="1" fontId="3" fillId="0" borderId="0" xfId="0" applyNumberFormat="1" applyFont="1" applyAlignment="1">
      <alignment horizontal="center" vertical="top"/>
    </xf>
    <xf numFmtId="14" fontId="3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44" fontId="3" fillId="0" borderId="0" xfId="1" applyFont="1" applyFill="1" applyBorder="1" applyAlignment="1">
      <alignment vertical="top"/>
    </xf>
    <xf numFmtId="44" fontId="3" fillId="0" borderId="0" xfId="1" applyFont="1" applyBorder="1" applyAlignment="1">
      <alignment horizontal="center" vertical="center" wrapText="1"/>
    </xf>
    <xf numFmtId="0" fontId="3" fillId="0" borderId="0" xfId="0" applyFont="1"/>
    <xf numFmtId="44" fontId="4" fillId="0" borderId="0" xfId="1" applyFont="1" applyFill="1" applyBorder="1" applyAlignment="1">
      <alignment vertical="top"/>
    </xf>
    <xf numFmtId="14" fontId="5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top"/>
    </xf>
    <xf numFmtId="168" fontId="3" fillId="0" borderId="0" xfId="0" applyNumberFormat="1" applyFont="1" applyAlignment="1">
      <alignment vertical="top"/>
    </xf>
    <xf numFmtId="44" fontId="3" fillId="0" borderId="0" xfId="1" applyFont="1" applyAlignment="1">
      <alignment vertical="top"/>
    </xf>
    <xf numFmtId="14" fontId="3" fillId="0" borderId="0" xfId="0" applyNumberFormat="1" applyFont="1"/>
    <xf numFmtId="0" fontId="3" fillId="0" borderId="0" xfId="0" applyFont="1" applyAlignment="1">
      <alignment horizontal="center"/>
    </xf>
    <xf numFmtId="1" fontId="6" fillId="3" borderId="1" xfId="0" applyNumberFormat="1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44" fontId="6" fillId="3" borderId="1" xfId="1" applyFont="1" applyFill="1" applyBorder="1" applyAlignment="1">
      <alignment horizontal="center" vertical="center" wrapText="1"/>
    </xf>
    <xf numFmtId="44" fontId="6" fillId="4" borderId="1" xfId="1" applyFont="1" applyFill="1" applyBorder="1" applyAlignment="1">
      <alignment horizontal="center" vertical="center" wrapText="1"/>
    </xf>
    <xf numFmtId="44" fontId="6" fillId="0" borderId="1" xfId="1" applyFont="1" applyFill="1" applyBorder="1" applyAlignment="1">
      <alignment horizontal="center" vertical="center" wrapText="1"/>
    </xf>
    <xf numFmtId="14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4" fontId="7" fillId="0" borderId="1" xfId="0" applyNumberFormat="1" applyFont="1" applyBorder="1"/>
    <xf numFmtId="0" fontId="7" fillId="0" borderId="1" xfId="0" applyFont="1" applyBorder="1"/>
    <xf numFmtId="0" fontId="7" fillId="0" borderId="1" xfId="2" applyFont="1" applyBorder="1"/>
    <xf numFmtId="0" fontId="7" fillId="0" borderId="1" xfId="0" applyFont="1" applyBorder="1" applyAlignment="1">
      <alignment horizontal="center" vertical="center"/>
    </xf>
    <xf numFmtId="44" fontId="7" fillId="0" borderId="1" xfId="1" applyFont="1" applyBorder="1"/>
    <xf numFmtId="44" fontId="6" fillId="0" borderId="1" xfId="1" applyFont="1" applyBorder="1"/>
    <xf numFmtId="44" fontId="7" fillId="0" borderId="1" xfId="1" applyFont="1" applyBorder="1" applyAlignment="1">
      <alignment horizontal="left"/>
    </xf>
    <xf numFmtId="14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44" fontId="0" fillId="0" borderId="1" xfId="0" applyNumberFormat="1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0" fillId="0" borderId="1" xfId="0" applyBorder="1"/>
    <xf numFmtId="0" fontId="9" fillId="0" borderId="1" xfId="2" applyFont="1" applyBorder="1" applyAlignment="1">
      <alignment vertical="center"/>
    </xf>
    <xf numFmtId="44" fontId="0" fillId="0" borderId="1" xfId="1" applyFont="1" applyBorder="1"/>
    <xf numFmtId="0" fontId="9" fillId="0" borderId="1" xfId="0" applyFont="1" applyBorder="1" applyAlignment="1">
      <alignment vertical="center"/>
    </xf>
    <xf numFmtId="44" fontId="0" fillId="0" borderId="1" xfId="1" applyFont="1" applyFill="1" applyBorder="1"/>
    <xf numFmtId="44" fontId="6" fillId="0" borderId="1" xfId="1" applyFont="1" applyFill="1" applyBorder="1"/>
    <xf numFmtId="0" fontId="0" fillId="0" borderId="1" xfId="0" applyBorder="1" applyAlignment="1">
      <alignment horizontal="center" vertical="center"/>
    </xf>
    <xf numFmtId="44" fontId="2" fillId="0" borderId="1" xfId="1" applyFont="1" applyBorder="1"/>
    <xf numFmtId="44" fontId="7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9" fillId="0" borderId="1" xfId="2" applyFont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</cellXfs>
  <cellStyles count="3">
    <cellStyle name="Moneda" xfId="1" builtinId="4"/>
    <cellStyle name="Normal" xfId="0" builtinId="0"/>
    <cellStyle name="Normal 2" xfId="2" xr:uid="{5E947CC9-DF84-4095-B40F-A7EC0FCAE818}"/>
  </cellStyles>
  <dxfs count="4"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50"/>
  <sheetViews>
    <sheetView tabSelected="1" workbookViewId="0"/>
  </sheetViews>
  <sheetFormatPr baseColWidth="10" defaultColWidth="8.7265625" defaultRowHeight="14.5" x14ac:dyDescent="0.35"/>
  <cols>
    <col min="1" max="1" width="18.81640625" bestFit="1" customWidth="1"/>
    <col min="2" max="2" width="13.81640625" bestFit="1" customWidth="1"/>
    <col min="3" max="3" width="4.81640625" bestFit="1" customWidth="1"/>
    <col min="4" max="4" width="49.90625" bestFit="1" customWidth="1"/>
    <col min="5" max="5" width="14.7265625" bestFit="1" customWidth="1"/>
    <col min="6" max="6" width="14.26953125" bestFit="1" customWidth="1"/>
    <col min="7" max="7" width="14.90625" bestFit="1" customWidth="1"/>
    <col min="8" max="8" width="14.54296875" bestFit="1" customWidth="1"/>
    <col min="9" max="9" width="28" bestFit="1" customWidth="1"/>
    <col min="10" max="10" width="16.81640625" bestFit="1" customWidth="1"/>
    <col min="11" max="11" width="17.26953125" bestFit="1" customWidth="1"/>
    <col min="12" max="12" width="27.7265625" bestFit="1" customWidth="1"/>
    <col min="13" max="13" width="22.1796875" bestFit="1" customWidth="1"/>
    <col min="14" max="14" width="17" bestFit="1" customWidth="1"/>
    <col min="15" max="15" width="18.26953125" bestFit="1" customWidth="1"/>
    <col min="16" max="16" width="255.632812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11</v>
      </c>
      <c r="L1" t="s">
        <v>12</v>
      </c>
      <c r="M1" t="s">
        <v>439</v>
      </c>
      <c r="N1" t="s">
        <v>440</v>
      </c>
      <c r="O1" t="s">
        <v>441</v>
      </c>
      <c r="P1" t="s">
        <v>10</v>
      </c>
    </row>
    <row r="2" spans="1:16" x14ac:dyDescent="0.35">
      <c r="A2" s="1">
        <v>46082</v>
      </c>
      <c r="B2" t="s">
        <v>13</v>
      </c>
      <c r="C2">
        <v>4138</v>
      </c>
      <c r="D2" t="s">
        <v>14</v>
      </c>
      <c r="E2" t="s">
        <v>15</v>
      </c>
      <c r="F2">
        <v>547.57000000000005</v>
      </c>
      <c r="G2" t="s">
        <v>16</v>
      </c>
      <c r="H2" s="2">
        <v>46142</v>
      </c>
      <c r="I2" s="1">
        <v>46232</v>
      </c>
      <c r="J2">
        <v>16</v>
      </c>
      <c r="K2" t="s">
        <v>18</v>
      </c>
      <c r="L2" t="s">
        <v>19</v>
      </c>
      <c r="M2">
        <v>8382</v>
      </c>
      <c r="P2" t="s">
        <v>17</v>
      </c>
    </row>
    <row r="3" spans="1:16" x14ac:dyDescent="0.35">
      <c r="A3" s="1">
        <v>46082</v>
      </c>
      <c r="B3" t="s">
        <v>20</v>
      </c>
      <c r="C3">
        <v>1870</v>
      </c>
      <c r="D3" t="s">
        <v>21</v>
      </c>
      <c r="E3" t="s">
        <v>22</v>
      </c>
      <c r="F3">
        <v>4141.53</v>
      </c>
      <c r="G3" t="s">
        <v>16</v>
      </c>
      <c r="H3" s="2">
        <v>46142</v>
      </c>
      <c r="I3" s="1">
        <v>46232</v>
      </c>
      <c r="J3">
        <v>16</v>
      </c>
      <c r="K3" t="s">
        <v>24</v>
      </c>
      <c r="L3" t="s">
        <v>19</v>
      </c>
      <c r="M3">
        <v>8325</v>
      </c>
      <c r="P3" t="s">
        <v>23</v>
      </c>
    </row>
    <row r="4" spans="1:16" x14ac:dyDescent="0.35">
      <c r="A4" s="1">
        <v>46082</v>
      </c>
      <c r="B4" t="s">
        <v>25</v>
      </c>
      <c r="C4">
        <v>3688</v>
      </c>
      <c r="D4" t="s">
        <v>26</v>
      </c>
      <c r="E4" t="s">
        <v>15</v>
      </c>
      <c r="F4">
        <v>2929.58</v>
      </c>
      <c r="G4" t="s">
        <v>16</v>
      </c>
      <c r="H4" s="2">
        <v>46142</v>
      </c>
      <c r="I4" s="1">
        <v>46232</v>
      </c>
      <c r="J4">
        <v>16</v>
      </c>
      <c r="K4" t="s">
        <v>18</v>
      </c>
      <c r="L4" t="s">
        <v>28</v>
      </c>
      <c r="P4" t="s">
        <v>27</v>
      </c>
    </row>
    <row r="5" spans="1:16" x14ac:dyDescent="0.35">
      <c r="A5" s="1">
        <v>46082</v>
      </c>
      <c r="B5" t="s">
        <v>29</v>
      </c>
      <c r="C5">
        <v>202</v>
      </c>
      <c r="D5" t="s">
        <v>30</v>
      </c>
      <c r="E5" t="s">
        <v>15</v>
      </c>
      <c r="F5">
        <v>3.45</v>
      </c>
      <c r="G5" t="s">
        <v>31</v>
      </c>
      <c r="H5" s="2">
        <v>46142</v>
      </c>
      <c r="I5" s="1">
        <v>46232</v>
      </c>
      <c r="J5">
        <v>16</v>
      </c>
      <c r="K5" t="s">
        <v>33</v>
      </c>
      <c r="P5" t="s">
        <v>32</v>
      </c>
    </row>
    <row r="6" spans="1:16" x14ac:dyDescent="0.35">
      <c r="A6" s="1">
        <v>46082</v>
      </c>
      <c r="B6" t="s">
        <v>35</v>
      </c>
      <c r="C6">
        <v>467</v>
      </c>
      <c r="D6" t="s">
        <v>36</v>
      </c>
      <c r="E6" t="s">
        <v>15</v>
      </c>
      <c r="F6">
        <v>68.77</v>
      </c>
      <c r="G6" t="s">
        <v>37</v>
      </c>
      <c r="H6" s="2">
        <v>46142</v>
      </c>
      <c r="I6" s="1">
        <v>46232</v>
      </c>
      <c r="J6">
        <v>16</v>
      </c>
      <c r="K6" t="s">
        <v>33</v>
      </c>
      <c r="P6" t="s">
        <v>32</v>
      </c>
    </row>
    <row r="7" spans="1:16" x14ac:dyDescent="0.35">
      <c r="A7" s="1">
        <v>46082</v>
      </c>
      <c r="B7" t="s">
        <v>38</v>
      </c>
      <c r="C7">
        <v>35</v>
      </c>
      <c r="D7" t="s">
        <v>39</v>
      </c>
      <c r="E7" t="s">
        <v>15</v>
      </c>
      <c r="F7">
        <v>2366.06</v>
      </c>
      <c r="G7" t="s">
        <v>37</v>
      </c>
      <c r="H7" s="2">
        <v>46142</v>
      </c>
      <c r="I7" s="1">
        <v>46232</v>
      </c>
      <c r="J7">
        <v>16</v>
      </c>
      <c r="K7" t="s">
        <v>24</v>
      </c>
      <c r="L7" t="s">
        <v>28</v>
      </c>
      <c r="P7" t="s">
        <v>40</v>
      </c>
    </row>
    <row r="8" spans="1:16" x14ac:dyDescent="0.35">
      <c r="A8" s="1">
        <v>46082</v>
      </c>
      <c r="B8" t="s">
        <v>41</v>
      </c>
      <c r="C8">
        <v>3829</v>
      </c>
      <c r="D8" t="s">
        <v>42</v>
      </c>
      <c r="E8" t="s">
        <v>22</v>
      </c>
      <c r="F8">
        <v>89.21</v>
      </c>
      <c r="G8" t="s">
        <v>43</v>
      </c>
      <c r="H8" s="2">
        <v>46142</v>
      </c>
      <c r="I8" s="1">
        <v>46232</v>
      </c>
      <c r="J8">
        <v>16</v>
      </c>
      <c r="K8" t="s">
        <v>18</v>
      </c>
      <c r="L8" t="s">
        <v>19</v>
      </c>
      <c r="M8">
        <v>7984</v>
      </c>
      <c r="P8" t="s">
        <v>44</v>
      </c>
    </row>
    <row r="9" spans="1:16" x14ac:dyDescent="0.35">
      <c r="A9" s="1">
        <v>46082</v>
      </c>
      <c r="B9" t="s">
        <v>45</v>
      </c>
      <c r="C9">
        <v>4647</v>
      </c>
      <c r="D9" t="s">
        <v>46</v>
      </c>
      <c r="E9" t="s">
        <v>15</v>
      </c>
      <c r="F9">
        <v>1949.96</v>
      </c>
      <c r="G9" t="s">
        <v>43</v>
      </c>
      <c r="H9" s="2">
        <v>46142</v>
      </c>
      <c r="I9" s="1">
        <v>46232</v>
      </c>
      <c r="J9">
        <v>16</v>
      </c>
      <c r="K9" t="s">
        <v>18</v>
      </c>
      <c r="L9" t="s">
        <v>19</v>
      </c>
      <c r="M9">
        <v>8361</v>
      </c>
      <c r="P9" t="s">
        <v>47</v>
      </c>
    </row>
    <row r="10" spans="1:16" x14ac:dyDescent="0.35">
      <c r="A10" s="1">
        <v>46082</v>
      </c>
      <c r="B10" t="s">
        <v>48</v>
      </c>
      <c r="C10">
        <v>472</v>
      </c>
      <c r="D10" t="s">
        <v>49</v>
      </c>
      <c r="E10" t="s">
        <v>15</v>
      </c>
      <c r="F10">
        <v>289.76</v>
      </c>
      <c r="G10" t="s">
        <v>31</v>
      </c>
      <c r="H10" s="2">
        <v>46142</v>
      </c>
      <c r="I10" s="1">
        <v>46232</v>
      </c>
      <c r="J10">
        <v>16</v>
      </c>
      <c r="K10" t="s">
        <v>33</v>
      </c>
      <c r="P10" t="s">
        <v>32</v>
      </c>
    </row>
    <row r="11" spans="1:16" x14ac:dyDescent="0.35">
      <c r="A11" s="1">
        <v>46082</v>
      </c>
      <c r="B11" t="s">
        <v>50</v>
      </c>
      <c r="C11">
        <v>2344</v>
      </c>
      <c r="D11" t="s">
        <v>51</v>
      </c>
      <c r="E11" t="s">
        <v>15</v>
      </c>
      <c r="F11">
        <v>1192.9000000000001</v>
      </c>
      <c r="G11" t="s">
        <v>52</v>
      </c>
      <c r="H11" s="2">
        <v>46142</v>
      </c>
      <c r="I11" s="1">
        <v>46232</v>
      </c>
      <c r="J11">
        <v>16</v>
      </c>
      <c r="K11" t="s">
        <v>24</v>
      </c>
      <c r="L11" t="s">
        <v>19</v>
      </c>
      <c r="P11" t="s">
        <v>32</v>
      </c>
    </row>
    <row r="12" spans="1:16" x14ac:dyDescent="0.35">
      <c r="A12" s="1">
        <v>46082</v>
      </c>
      <c r="B12" t="s">
        <v>53</v>
      </c>
      <c r="C12">
        <v>4079</v>
      </c>
      <c r="D12" t="s">
        <v>54</v>
      </c>
      <c r="E12" t="s">
        <v>15</v>
      </c>
      <c r="F12">
        <v>2.12</v>
      </c>
      <c r="G12" t="s">
        <v>37</v>
      </c>
      <c r="H12" s="2">
        <v>46142</v>
      </c>
      <c r="I12" s="1">
        <v>46232</v>
      </c>
      <c r="J12">
        <v>16</v>
      </c>
      <c r="K12" t="s">
        <v>33</v>
      </c>
      <c r="P12" t="s">
        <v>32</v>
      </c>
    </row>
    <row r="13" spans="1:16" x14ac:dyDescent="0.35">
      <c r="A13" s="1">
        <v>46082</v>
      </c>
      <c r="B13" t="s">
        <v>55</v>
      </c>
      <c r="C13">
        <v>2857</v>
      </c>
      <c r="D13" t="s">
        <v>56</v>
      </c>
      <c r="E13" t="s">
        <v>22</v>
      </c>
      <c r="F13">
        <v>1290.8800000000001</v>
      </c>
      <c r="G13" t="s">
        <v>37</v>
      </c>
      <c r="H13" s="2">
        <v>46142</v>
      </c>
      <c r="I13" s="1">
        <v>46232</v>
      </c>
      <c r="J13">
        <v>16</v>
      </c>
      <c r="K13" t="s">
        <v>24</v>
      </c>
      <c r="L13" t="s">
        <v>19</v>
      </c>
      <c r="M13">
        <v>8375</v>
      </c>
      <c r="P13" t="s">
        <v>57</v>
      </c>
    </row>
    <row r="14" spans="1:16" x14ac:dyDescent="0.35">
      <c r="A14" s="1">
        <v>46082</v>
      </c>
      <c r="B14" t="s">
        <v>58</v>
      </c>
      <c r="C14">
        <v>1602</v>
      </c>
      <c r="D14" t="s">
        <v>59</v>
      </c>
      <c r="E14" t="s">
        <v>15</v>
      </c>
      <c r="F14">
        <v>5618.42</v>
      </c>
      <c r="G14" t="s">
        <v>60</v>
      </c>
      <c r="H14" s="2">
        <v>46142</v>
      </c>
      <c r="I14" s="1">
        <v>46232</v>
      </c>
      <c r="J14">
        <v>16</v>
      </c>
      <c r="K14" t="s">
        <v>62</v>
      </c>
      <c r="L14" t="s">
        <v>28</v>
      </c>
      <c r="P14" t="s">
        <v>61</v>
      </c>
    </row>
    <row r="15" spans="1:16" x14ac:dyDescent="0.35">
      <c r="A15" s="1">
        <v>46082</v>
      </c>
      <c r="B15" t="s">
        <v>63</v>
      </c>
      <c r="C15">
        <v>4101</v>
      </c>
      <c r="D15" t="s">
        <v>64</v>
      </c>
      <c r="E15" t="s">
        <v>15</v>
      </c>
      <c r="F15">
        <v>55.15</v>
      </c>
      <c r="G15" t="s">
        <v>65</v>
      </c>
      <c r="H15" s="2">
        <v>46142</v>
      </c>
      <c r="I15" s="1">
        <v>46232</v>
      </c>
      <c r="J15">
        <v>16</v>
      </c>
      <c r="K15" t="s">
        <v>33</v>
      </c>
      <c r="P15" t="s">
        <v>32</v>
      </c>
    </row>
    <row r="16" spans="1:16" x14ac:dyDescent="0.35">
      <c r="A16" s="1">
        <v>46082</v>
      </c>
      <c r="B16" t="s">
        <v>66</v>
      </c>
      <c r="C16">
        <v>276</v>
      </c>
      <c r="D16" t="s">
        <v>67</v>
      </c>
      <c r="E16" t="s">
        <v>22</v>
      </c>
      <c r="F16">
        <v>35.53</v>
      </c>
      <c r="G16" t="s">
        <v>43</v>
      </c>
      <c r="H16" s="2">
        <v>46142</v>
      </c>
      <c r="I16" s="1">
        <v>46232</v>
      </c>
      <c r="J16">
        <v>16</v>
      </c>
      <c r="K16" t="s">
        <v>33</v>
      </c>
      <c r="P16" t="s">
        <v>32</v>
      </c>
    </row>
    <row r="17" spans="1:16" x14ac:dyDescent="0.35">
      <c r="A17" s="1">
        <v>46082</v>
      </c>
      <c r="B17" t="s">
        <v>68</v>
      </c>
      <c r="C17">
        <v>405</v>
      </c>
      <c r="D17" t="s">
        <v>69</v>
      </c>
      <c r="E17" t="s">
        <v>15</v>
      </c>
      <c r="F17">
        <v>7497</v>
      </c>
      <c r="G17" t="s">
        <v>70</v>
      </c>
      <c r="H17" s="2">
        <v>46142</v>
      </c>
      <c r="I17" s="1">
        <v>46232</v>
      </c>
      <c r="J17">
        <v>16</v>
      </c>
      <c r="K17" t="s">
        <v>18</v>
      </c>
      <c r="L17" t="s">
        <v>19</v>
      </c>
      <c r="M17">
        <v>34298</v>
      </c>
      <c r="P17" t="s">
        <v>71</v>
      </c>
    </row>
    <row r="18" spans="1:16" x14ac:dyDescent="0.35">
      <c r="A18" s="1">
        <v>46082</v>
      </c>
      <c r="B18" t="s">
        <v>72</v>
      </c>
      <c r="C18">
        <v>3954</v>
      </c>
      <c r="D18" t="s">
        <v>73</v>
      </c>
      <c r="E18" t="s">
        <v>15</v>
      </c>
      <c r="F18">
        <v>72.209999999999994</v>
      </c>
      <c r="G18" t="s">
        <v>43</v>
      </c>
      <c r="H18" s="2">
        <v>46142</v>
      </c>
      <c r="I18" s="1">
        <v>46232</v>
      </c>
      <c r="J18">
        <v>16</v>
      </c>
      <c r="K18" t="s">
        <v>33</v>
      </c>
      <c r="L18" t="s">
        <v>19</v>
      </c>
      <c r="P18" t="s">
        <v>32</v>
      </c>
    </row>
    <row r="19" spans="1:16" x14ac:dyDescent="0.35">
      <c r="A19" s="1">
        <v>46082</v>
      </c>
      <c r="B19" t="s">
        <v>74</v>
      </c>
      <c r="C19">
        <v>4460</v>
      </c>
      <c r="D19" t="s">
        <v>75</v>
      </c>
      <c r="E19" t="s">
        <v>15</v>
      </c>
      <c r="F19">
        <v>139</v>
      </c>
      <c r="G19" t="s">
        <v>37</v>
      </c>
      <c r="H19" s="2">
        <v>46142</v>
      </c>
      <c r="I19" s="1">
        <v>46232</v>
      </c>
      <c r="J19">
        <v>16</v>
      </c>
      <c r="K19" t="s">
        <v>33</v>
      </c>
      <c r="P19" t="s">
        <v>32</v>
      </c>
    </row>
    <row r="20" spans="1:16" x14ac:dyDescent="0.35">
      <c r="A20" s="1">
        <v>46082</v>
      </c>
      <c r="B20" t="s">
        <v>76</v>
      </c>
      <c r="C20">
        <v>2234</v>
      </c>
      <c r="D20" t="s">
        <v>77</v>
      </c>
      <c r="E20" t="s">
        <v>15</v>
      </c>
      <c r="F20">
        <v>134.88999999999999</v>
      </c>
      <c r="G20" t="s">
        <v>78</v>
      </c>
      <c r="H20" s="2">
        <v>46142</v>
      </c>
      <c r="I20" s="1">
        <v>46232</v>
      </c>
      <c r="J20">
        <v>16</v>
      </c>
      <c r="K20" t="s">
        <v>33</v>
      </c>
      <c r="P20" t="s">
        <v>32</v>
      </c>
    </row>
    <row r="21" spans="1:16" x14ac:dyDescent="0.35">
      <c r="A21" s="1">
        <v>46082</v>
      </c>
      <c r="B21" t="s">
        <v>79</v>
      </c>
      <c r="C21">
        <v>204</v>
      </c>
      <c r="D21" t="s">
        <v>80</v>
      </c>
      <c r="E21" t="s">
        <v>15</v>
      </c>
      <c r="F21">
        <v>70.66</v>
      </c>
      <c r="G21" t="s">
        <v>81</v>
      </c>
      <c r="H21" s="2">
        <v>46142</v>
      </c>
      <c r="I21" s="1">
        <v>46232</v>
      </c>
      <c r="J21">
        <v>16</v>
      </c>
      <c r="K21" t="s">
        <v>33</v>
      </c>
      <c r="P21" t="s">
        <v>32</v>
      </c>
    </row>
    <row r="22" spans="1:16" x14ac:dyDescent="0.35">
      <c r="A22" s="1">
        <v>46082</v>
      </c>
      <c r="B22" t="s">
        <v>82</v>
      </c>
      <c r="C22">
        <v>5790</v>
      </c>
      <c r="D22" t="s">
        <v>83</v>
      </c>
      <c r="E22" t="s">
        <v>22</v>
      </c>
      <c r="F22">
        <v>3798</v>
      </c>
      <c r="G22" t="s">
        <v>43</v>
      </c>
      <c r="H22" s="2">
        <v>46142</v>
      </c>
      <c r="I22" s="1">
        <v>46232</v>
      </c>
      <c r="J22">
        <v>16</v>
      </c>
      <c r="K22" t="s">
        <v>62</v>
      </c>
      <c r="L22" t="s">
        <v>19</v>
      </c>
      <c r="P22" t="s">
        <v>32</v>
      </c>
    </row>
    <row r="23" spans="1:16" x14ac:dyDescent="0.35">
      <c r="A23" s="1">
        <v>46082</v>
      </c>
      <c r="B23" t="s">
        <v>84</v>
      </c>
      <c r="C23">
        <v>1924</v>
      </c>
      <c r="D23" t="s">
        <v>85</v>
      </c>
      <c r="E23" t="s">
        <v>15</v>
      </c>
      <c r="F23">
        <v>35.06</v>
      </c>
      <c r="G23" t="s">
        <v>37</v>
      </c>
      <c r="H23" s="2">
        <v>46142</v>
      </c>
      <c r="I23" s="1">
        <v>46232</v>
      </c>
      <c r="J23">
        <v>16</v>
      </c>
      <c r="K23" t="s">
        <v>33</v>
      </c>
      <c r="P23" t="s">
        <v>32</v>
      </c>
    </row>
    <row r="24" spans="1:16" x14ac:dyDescent="0.35">
      <c r="A24" s="1">
        <v>46082</v>
      </c>
      <c r="B24" t="s">
        <v>86</v>
      </c>
      <c r="C24">
        <v>761</v>
      </c>
      <c r="D24" t="s">
        <v>87</v>
      </c>
      <c r="E24" t="s">
        <v>15</v>
      </c>
      <c r="F24">
        <v>564.62</v>
      </c>
      <c r="G24" t="s">
        <v>52</v>
      </c>
      <c r="H24" s="2">
        <v>46142</v>
      </c>
      <c r="I24" s="1">
        <v>46232</v>
      </c>
      <c r="J24">
        <v>16</v>
      </c>
      <c r="K24" t="s">
        <v>24</v>
      </c>
      <c r="L24" t="s">
        <v>19</v>
      </c>
      <c r="M24">
        <v>8354</v>
      </c>
      <c r="P24" t="s">
        <v>88</v>
      </c>
    </row>
    <row r="25" spans="1:16" x14ac:dyDescent="0.35">
      <c r="A25" s="1">
        <v>46082</v>
      </c>
      <c r="B25" t="s">
        <v>89</v>
      </c>
      <c r="C25">
        <v>4281</v>
      </c>
      <c r="D25" t="s">
        <v>90</v>
      </c>
      <c r="E25" t="s">
        <v>15</v>
      </c>
      <c r="F25">
        <v>570.67999999999995</v>
      </c>
      <c r="G25" t="s">
        <v>70</v>
      </c>
      <c r="H25" s="2">
        <v>46142</v>
      </c>
      <c r="I25" s="1">
        <v>46232</v>
      </c>
      <c r="J25">
        <v>16</v>
      </c>
      <c r="K25" t="s">
        <v>18</v>
      </c>
      <c r="L25" t="s">
        <v>19</v>
      </c>
      <c r="M25">
        <v>8302</v>
      </c>
      <c r="P25" t="s">
        <v>91</v>
      </c>
    </row>
    <row r="26" spans="1:16" x14ac:dyDescent="0.35">
      <c r="A26" s="1">
        <v>46082</v>
      </c>
      <c r="B26" t="s">
        <v>92</v>
      </c>
      <c r="C26">
        <v>2762</v>
      </c>
      <c r="D26" t="s">
        <v>93</v>
      </c>
      <c r="E26" t="s">
        <v>22</v>
      </c>
      <c r="F26">
        <v>2370.73</v>
      </c>
      <c r="G26" t="s">
        <v>16</v>
      </c>
      <c r="H26" s="2">
        <v>46142</v>
      </c>
      <c r="I26" s="1">
        <v>46232</v>
      </c>
      <c r="J26">
        <v>16</v>
      </c>
      <c r="K26" t="s">
        <v>24</v>
      </c>
      <c r="L26" t="s">
        <v>28</v>
      </c>
      <c r="P26" t="s">
        <v>94</v>
      </c>
    </row>
    <row r="27" spans="1:16" x14ac:dyDescent="0.35">
      <c r="A27" s="1">
        <v>46082</v>
      </c>
      <c r="B27" t="s">
        <v>95</v>
      </c>
      <c r="C27">
        <v>163</v>
      </c>
      <c r="D27" t="s">
        <v>96</v>
      </c>
      <c r="E27" t="s">
        <v>15</v>
      </c>
      <c r="F27">
        <v>4995.7</v>
      </c>
      <c r="G27" t="s">
        <v>43</v>
      </c>
      <c r="H27" s="2">
        <v>46142</v>
      </c>
      <c r="I27" s="1">
        <v>46232</v>
      </c>
      <c r="J27">
        <v>16</v>
      </c>
      <c r="K27" t="s">
        <v>24</v>
      </c>
      <c r="L27" t="s">
        <v>19</v>
      </c>
      <c r="M27">
        <v>8341</v>
      </c>
      <c r="P27" t="s">
        <v>97</v>
      </c>
    </row>
    <row r="28" spans="1:16" x14ac:dyDescent="0.35">
      <c r="A28" s="1">
        <v>46082</v>
      </c>
      <c r="B28" t="s">
        <v>98</v>
      </c>
      <c r="C28">
        <v>166</v>
      </c>
      <c r="D28" t="s">
        <v>99</v>
      </c>
      <c r="E28" t="s">
        <v>15</v>
      </c>
      <c r="F28">
        <v>19.21</v>
      </c>
      <c r="G28" t="s">
        <v>37</v>
      </c>
      <c r="H28" s="2">
        <v>46142</v>
      </c>
      <c r="I28" s="1">
        <v>46232</v>
      </c>
      <c r="J28">
        <v>16</v>
      </c>
      <c r="K28" t="s">
        <v>18</v>
      </c>
      <c r="L28" t="s">
        <v>19</v>
      </c>
      <c r="M28">
        <v>35811</v>
      </c>
      <c r="P28" t="s">
        <v>100</v>
      </c>
    </row>
    <row r="29" spans="1:16" x14ac:dyDescent="0.35">
      <c r="A29" s="1">
        <v>46082</v>
      </c>
      <c r="B29" t="s">
        <v>101</v>
      </c>
      <c r="C29">
        <v>1948</v>
      </c>
      <c r="D29" t="s">
        <v>102</v>
      </c>
      <c r="E29" t="s">
        <v>15</v>
      </c>
      <c r="F29">
        <v>755.48</v>
      </c>
      <c r="G29" t="s">
        <v>70</v>
      </c>
      <c r="H29" s="2">
        <v>46142</v>
      </c>
      <c r="I29" s="1">
        <v>46232</v>
      </c>
      <c r="J29">
        <v>16</v>
      </c>
      <c r="K29" t="s">
        <v>62</v>
      </c>
      <c r="L29" t="s">
        <v>28</v>
      </c>
      <c r="P29" t="s">
        <v>103</v>
      </c>
    </row>
    <row r="30" spans="1:16" x14ac:dyDescent="0.35">
      <c r="A30" s="1">
        <v>46082</v>
      </c>
      <c r="B30" t="s">
        <v>104</v>
      </c>
      <c r="C30">
        <v>181</v>
      </c>
      <c r="D30" t="s">
        <v>105</v>
      </c>
      <c r="E30" t="s">
        <v>15</v>
      </c>
      <c r="F30">
        <v>251.16</v>
      </c>
      <c r="G30" t="s">
        <v>106</v>
      </c>
      <c r="H30" s="2">
        <v>46142</v>
      </c>
      <c r="I30" s="1">
        <v>46232</v>
      </c>
      <c r="J30">
        <v>16</v>
      </c>
      <c r="K30" t="s">
        <v>33</v>
      </c>
      <c r="P30" t="s">
        <v>32</v>
      </c>
    </row>
    <row r="31" spans="1:16" x14ac:dyDescent="0.35">
      <c r="A31" s="1">
        <v>46082</v>
      </c>
      <c r="B31" t="s">
        <v>107</v>
      </c>
      <c r="C31">
        <v>2434</v>
      </c>
      <c r="D31" t="s">
        <v>108</v>
      </c>
      <c r="E31" t="s">
        <v>15</v>
      </c>
      <c r="F31">
        <v>570</v>
      </c>
      <c r="G31" t="s">
        <v>81</v>
      </c>
      <c r="H31" s="2">
        <v>46142</v>
      </c>
      <c r="I31" s="1">
        <v>46232</v>
      </c>
      <c r="J31">
        <v>16</v>
      </c>
      <c r="K31" t="s">
        <v>24</v>
      </c>
      <c r="L31" t="s">
        <v>19</v>
      </c>
      <c r="P31" t="s">
        <v>32</v>
      </c>
    </row>
    <row r="32" spans="1:16" x14ac:dyDescent="0.35">
      <c r="A32" s="1">
        <v>46082</v>
      </c>
      <c r="B32" t="s">
        <v>109</v>
      </c>
      <c r="C32">
        <v>190</v>
      </c>
      <c r="D32" t="s">
        <v>110</v>
      </c>
      <c r="E32" t="s">
        <v>15</v>
      </c>
      <c r="F32">
        <v>301.48</v>
      </c>
      <c r="G32" t="s">
        <v>70</v>
      </c>
      <c r="H32" s="2">
        <v>46142</v>
      </c>
      <c r="I32" s="1">
        <v>46232</v>
      </c>
      <c r="J32">
        <v>16</v>
      </c>
      <c r="K32" t="s">
        <v>18</v>
      </c>
      <c r="L32" t="s">
        <v>19</v>
      </c>
      <c r="M32">
        <v>8359</v>
      </c>
      <c r="P32" t="s">
        <v>111</v>
      </c>
    </row>
    <row r="33" spans="1:16" x14ac:dyDescent="0.35">
      <c r="A33" s="1">
        <v>46082</v>
      </c>
      <c r="B33" t="s">
        <v>112</v>
      </c>
      <c r="C33">
        <v>2667</v>
      </c>
      <c r="D33" t="s">
        <v>113</v>
      </c>
      <c r="E33" t="s">
        <v>15</v>
      </c>
      <c r="F33">
        <v>504.4</v>
      </c>
      <c r="G33" t="s">
        <v>31</v>
      </c>
      <c r="H33" s="2">
        <v>46142</v>
      </c>
      <c r="I33" s="1">
        <v>46232</v>
      </c>
      <c r="J33">
        <v>16</v>
      </c>
      <c r="K33" t="s">
        <v>18</v>
      </c>
      <c r="L33" t="s">
        <v>19</v>
      </c>
      <c r="M33">
        <v>8335</v>
      </c>
      <c r="P33" t="s">
        <v>114</v>
      </c>
    </row>
    <row r="34" spans="1:16" x14ac:dyDescent="0.35">
      <c r="A34" s="1">
        <v>46082</v>
      </c>
      <c r="B34" t="s">
        <v>115</v>
      </c>
      <c r="C34">
        <v>6114</v>
      </c>
      <c r="D34" t="s">
        <v>116</v>
      </c>
      <c r="E34" t="s">
        <v>15</v>
      </c>
      <c r="F34">
        <v>576.46</v>
      </c>
      <c r="G34" t="s">
        <v>43</v>
      </c>
      <c r="H34" s="2">
        <v>46142</v>
      </c>
      <c r="I34" s="1">
        <v>46232</v>
      </c>
      <c r="J34">
        <v>16</v>
      </c>
      <c r="K34" t="s">
        <v>18</v>
      </c>
      <c r="L34" t="s">
        <v>19</v>
      </c>
      <c r="P34" t="s">
        <v>117</v>
      </c>
    </row>
    <row r="35" spans="1:16" x14ac:dyDescent="0.35">
      <c r="A35" s="1">
        <v>46082</v>
      </c>
      <c r="B35" t="s">
        <v>118</v>
      </c>
      <c r="C35">
        <v>4092</v>
      </c>
      <c r="D35" t="s">
        <v>119</v>
      </c>
      <c r="E35" t="s">
        <v>15</v>
      </c>
      <c r="F35">
        <v>116</v>
      </c>
      <c r="G35" t="s">
        <v>43</v>
      </c>
      <c r="H35" s="2">
        <v>46142</v>
      </c>
      <c r="I35" s="1">
        <v>46232</v>
      </c>
      <c r="J35">
        <v>16</v>
      </c>
      <c r="K35" t="s">
        <v>33</v>
      </c>
      <c r="P35" t="s">
        <v>32</v>
      </c>
    </row>
    <row r="36" spans="1:16" x14ac:dyDescent="0.35">
      <c r="A36" s="1">
        <v>46082</v>
      </c>
      <c r="B36" t="s">
        <v>120</v>
      </c>
      <c r="C36">
        <v>3825</v>
      </c>
      <c r="D36" t="s">
        <v>121</v>
      </c>
      <c r="E36" t="s">
        <v>15</v>
      </c>
      <c r="F36">
        <v>2380.56</v>
      </c>
      <c r="G36" t="s">
        <v>70</v>
      </c>
      <c r="H36" s="2">
        <v>46142</v>
      </c>
      <c r="I36" s="1">
        <v>46232</v>
      </c>
      <c r="J36">
        <v>16</v>
      </c>
      <c r="K36" t="s">
        <v>18</v>
      </c>
      <c r="L36" t="s">
        <v>19</v>
      </c>
      <c r="M36">
        <v>8345</v>
      </c>
      <c r="P36" t="s">
        <v>122</v>
      </c>
    </row>
    <row r="37" spans="1:16" x14ac:dyDescent="0.35">
      <c r="A37" s="1">
        <v>46082</v>
      </c>
      <c r="B37" t="s">
        <v>123</v>
      </c>
      <c r="C37">
        <v>6023</v>
      </c>
      <c r="D37" t="s">
        <v>124</v>
      </c>
      <c r="E37" t="s">
        <v>22</v>
      </c>
      <c r="F37">
        <v>172</v>
      </c>
      <c r="G37" t="s">
        <v>16</v>
      </c>
      <c r="H37" s="2">
        <v>46142</v>
      </c>
      <c r="I37" s="1">
        <v>46232</v>
      </c>
      <c r="J37">
        <v>16</v>
      </c>
      <c r="K37" t="s">
        <v>18</v>
      </c>
      <c r="L37" t="s">
        <v>19</v>
      </c>
      <c r="M37">
        <v>8282</v>
      </c>
      <c r="P37" t="s">
        <v>125</v>
      </c>
    </row>
    <row r="38" spans="1:16" x14ac:dyDescent="0.35">
      <c r="A38" s="1">
        <v>46082</v>
      </c>
      <c r="B38" t="s">
        <v>126</v>
      </c>
      <c r="C38">
        <v>2728</v>
      </c>
      <c r="D38" t="s">
        <v>127</v>
      </c>
      <c r="E38" t="s">
        <v>15</v>
      </c>
      <c r="F38">
        <v>227.54</v>
      </c>
      <c r="G38" t="s">
        <v>37</v>
      </c>
      <c r="H38" s="2">
        <v>46142</v>
      </c>
      <c r="I38" s="1">
        <v>46232</v>
      </c>
      <c r="J38">
        <v>16</v>
      </c>
      <c r="K38" t="s">
        <v>33</v>
      </c>
      <c r="P38" t="s">
        <v>32</v>
      </c>
    </row>
    <row r="39" spans="1:16" x14ac:dyDescent="0.35">
      <c r="A39" s="1">
        <v>46082</v>
      </c>
      <c r="B39" t="s">
        <v>128</v>
      </c>
      <c r="C39">
        <v>411</v>
      </c>
      <c r="D39" t="s">
        <v>129</v>
      </c>
      <c r="E39" t="s">
        <v>15</v>
      </c>
      <c r="F39">
        <v>494</v>
      </c>
      <c r="G39" t="s">
        <v>106</v>
      </c>
      <c r="H39" s="2">
        <v>46142</v>
      </c>
      <c r="I39" s="1">
        <v>46232</v>
      </c>
      <c r="J39">
        <v>16</v>
      </c>
      <c r="K39" t="s">
        <v>62</v>
      </c>
      <c r="L39" t="s">
        <v>19</v>
      </c>
      <c r="P39" t="s">
        <v>32</v>
      </c>
    </row>
    <row r="40" spans="1:16" x14ac:dyDescent="0.35">
      <c r="A40" s="1">
        <v>46082</v>
      </c>
      <c r="B40" t="s">
        <v>130</v>
      </c>
      <c r="C40">
        <v>1042</v>
      </c>
      <c r="D40" t="s">
        <v>131</v>
      </c>
      <c r="E40" t="s">
        <v>22</v>
      </c>
      <c r="F40">
        <v>605.48</v>
      </c>
      <c r="G40" t="s">
        <v>70</v>
      </c>
      <c r="H40" s="2">
        <v>46142</v>
      </c>
      <c r="I40" s="1">
        <v>46232</v>
      </c>
      <c r="J40">
        <v>16</v>
      </c>
      <c r="K40" t="s">
        <v>62</v>
      </c>
      <c r="L40" t="s">
        <v>19</v>
      </c>
      <c r="P40" t="s">
        <v>132</v>
      </c>
    </row>
    <row r="41" spans="1:16" x14ac:dyDescent="0.35">
      <c r="A41" s="1">
        <v>46082</v>
      </c>
      <c r="B41" t="s">
        <v>133</v>
      </c>
      <c r="C41">
        <v>128</v>
      </c>
      <c r="D41" t="s">
        <v>134</v>
      </c>
      <c r="E41" t="s">
        <v>22</v>
      </c>
      <c r="F41">
        <v>1265.55</v>
      </c>
      <c r="G41" t="s">
        <v>31</v>
      </c>
      <c r="H41" s="2">
        <v>46142</v>
      </c>
      <c r="I41" s="1">
        <v>46232</v>
      </c>
      <c r="J41">
        <v>16</v>
      </c>
      <c r="K41" t="s">
        <v>24</v>
      </c>
      <c r="L41" t="s">
        <v>19</v>
      </c>
      <c r="M41">
        <v>8367</v>
      </c>
      <c r="P41" t="s">
        <v>135</v>
      </c>
    </row>
    <row r="42" spans="1:16" x14ac:dyDescent="0.35">
      <c r="A42" s="1">
        <v>46082</v>
      </c>
      <c r="B42" t="s">
        <v>136</v>
      </c>
      <c r="C42">
        <v>6038</v>
      </c>
      <c r="D42" t="s">
        <v>137</v>
      </c>
      <c r="E42" t="s">
        <v>15</v>
      </c>
      <c r="F42">
        <v>853.44</v>
      </c>
      <c r="G42" t="s">
        <v>37</v>
      </c>
      <c r="H42" s="2">
        <v>46142</v>
      </c>
      <c r="I42" s="1">
        <v>46232</v>
      </c>
      <c r="J42">
        <v>16</v>
      </c>
      <c r="K42" t="s">
        <v>62</v>
      </c>
      <c r="L42" t="s">
        <v>28</v>
      </c>
      <c r="P42" t="s">
        <v>138</v>
      </c>
    </row>
    <row r="43" spans="1:16" x14ac:dyDescent="0.35">
      <c r="A43" s="1">
        <v>46082</v>
      </c>
      <c r="B43" t="s">
        <v>139</v>
      </c>
      <c r="C43">
        <v>4769</v>
      </c>
      <c r="D43" t="s">
        <v>140</v>
      </c>
      <c r="E43" t="s">
        <v>15</v>
      </c>
      <c r="F43">
        <v>293.64</v>
      </c>
      <c r="G43" t="s">
        <v>70</v>
      </c>
      <c r="H43" s="2">
        <v>46142</v>
      </c>
      <c r="I43" s="1">
        <v>46232</v>
      </c>
      <c r="J43">
        <v>16</v>
      </c>
      <c r="K43" t="s">
        <v>33</v>
      </c>
      <c r="L43" t="s">
        <v>141</v>
      </c>
      <c r="P43" t="s">
        <v>138</v>
      </c>
    </row>
    <row r="44" spans="1:16" x14ac:dyDescent="0.35">
      <c r="A44" s="1">
        <v>46082</v>
      </c>
      <c r="B44" t="s">
        <v>143</v>
      </c>
      <c r="C44">
        <v>447</v>
      </c>
      <c r="D44" t="s">
        <v>144</v>
      </c>
      <c r="E44" t="s">
        <v>15</v>
      </c>
      <c r="F44">
        <v>27.8</v>
      </c>
      <c r="G44" t="s">
        <v>65</v>
      </c>
      <c r="H44" s="2">
        <v>46142</v>
      </c>
      <c r="I44" s="1">
        <v>46232</v>
      </c>
      <c r="J44">
        <v>16</v>
      </c>
      <c r="K44" t="s">
        <v>33</v>
      </c>
      <c r="P44" t="s">
        <v>32</v>
      </c>
    </row>
    <row r="45" spans="1:16" x14ac:dyDescent="0.35">
      <c r="A45" s="1">
        <v>46082</v>
      </c>
      <c r="B45" t="s">
        <v>145</v>
      </c>
      <c r="C45">
        <v>1692</v>
      </c>
      <c r="D45" t="s">
        <v>146</v>
      </c>
      <c r="E45" t="s">
        <v>15</v>
      </c>
      <c r="F45">
        <v>15.84</v>
      </c>
      <c r="G45" t="s">
        <v>65</v>
      </c>
      <c r="H45" s="2">
        <v>46142</v>
      </c>
      <c r="I45" s="1">
        <v>46232</v>
      </c>
      <c r="J45">
        <v>16</v>
      </c>
      <c r="K45" t="s">
        <v>33</v>
      </c>
      <c r="P45" t="s">
        <v>32</v>
      </c>
    </row>
    <row r="46" spans="1:16" x14ac:dyDescent="0.35">
      <c r="A46" s="1">
        <v>46082</v>
      </c>
      <c r="B46" t="s">
        <v>147</v>
      </c>
      <c r="C46">
        <v>164</v>
      </c>
      <c r="D46" t="s">
        <v>148</v>
      </c>
      <c r="E46" t="s">
        <v>22</v>
      </c>
      <c r="F46">
        <v>539.33000000000004</v>
      </c>
      <c r="G46" t="s">
        <v>31</v>
      </c>
      <c r="H46" s="2">
        <v>46142</v>
      </c>
      <c r="I46" s="1">
        <v>46232</v>
      </c>
      <c r="J46">
        <v>16</v>
      </c>
      <c r="K46" t="s">
        <v>24</v>
      </c>
      <c r="L46" t="s">
        <v>19</v>
      </c>
      <c r="M46">
        <v>8352</v>
      </c>
      <c r="P46" t="s">
        <v>149</v>
      </c>
    </row>
    <row r="47" spans="1:16" x14ac:dyDescent="0.35">
      <c r="A47" s="1">
        <v>46082</v>
      </c>
      <c r="B47" t="s">
        <v>150</v>
      </c>
      <c r="C47">
        <v>2353</v>
      </c>
      <c r="D47" t="s">
        <v>151</v>
      </c>
      <c r="E47" t="s">
        <v>22</v>
      </c>
      <c r="F47">
        <v>647.55999999999995</v>
      </c>
      <c r="G47" t="s">
        <v>16</v>
      </c>
      <c r="H47" s="2">
        <v>46142</v>
      </c>
      <c r="I47" s="1">
        <v>46232</v>
      </c>
      <c r="J47">
        <v>16</v>
      </c>
      <c r="K47" t="s">
        <v>18</v>
      </c>
      <c r="L47" t="s">
        <v>19</v>
      </c>
      <c r="M47">
        <v>8349</v>
      </c>
      <c r="P47" t="s">
        <v>152</v>
      </c>
    </row>
    <row r="48" spans="1:16" x14ac:dyDescent="0.35">
      <c r="A48" s="1">
        <v>46082</v>
      </c>
      <c r="B48" t="s">
        <v>153</v>
      </c>
      <c r="C48">
        <v>121</v>
      </c>
      <c r="D48" t="s">
        <v>154</v>
      </c>
      <c r="E48" t="s">
        <v>15</v>
      </c>
      <c r="F48">
        <v>837.99</v>
      </c>
      <c r="G48" t="s">
        <v>16</v>
      </c>
      <c r="H48" s="2">
        <v>46142</v>
      </c>
      <c r="I48" s="1">
        <v>46232</v>
      </c>
      <c r="J48">
        <v>16</v>
      </c>
      <c r="K48" t="s">
        <v>18</v>
      </c>
      <c r="L48" t="s">
        <v>19</v>
      </c>
      <c r="M48">
        <v>8274</v>
      </c>
      <c r="P48" t="s">
        <v>155</v>
      </c>
    </row>
    <row r="49" spans="1:16" x14ac:dyDescent="0.35">
      <c r="A49" s="1">
        <v>46082</v>
      </c>
      <c r="B49" t="s">
        <v>156</v>
      </c>
      <c r="C49">
        <v>255</v>
      </c>
      <c r="D49" t="s">
        <v>157</v>
      </c>
      <c r="E49" t="s">
        <v>22</v>
      </c>
      <c r="F49">
        <v>149.02000000000001</v>
      </c>
      <c r="G49" t="s">
        <v>43</v>
      </c>
      <c r="H49" s="2">
        <v>46142</v>
      </c>
      <c r="I49" s="1">
        <v>46232</v>
      </c>
      <c r="J49">
        <v>16</v>
      </c>
      <c r="K49" t="s">
        <v>18</v>
      </c>
      <c r="L49" t="s">
        <v>19</v>
      </c>
      <c r="M49">
        <v>8334</v>
      </c>
      <c r="P49" t="s">
        <v>158</v>
      </c>
    </row>
    <row r="50" spans="1:16" x14ac:dyDescent="0.35">
      <c r="A50" s="1">
        <v>46113</v>
      </c>
      <c r="B50" t="s">
        <v>159</v>
      </c>
      <c r="C50">
        <v>4138</v>
      </c>
      <c r="D50" t="s">
        <v>14</v>
      </c>
      <c r="E50" t="s">
        <v>15</v>
      </c>
      <c r="F50">
        <v>659.72</v>
      </c>
      <c r="G50" t="s">
        <v>16</v>
      </c>
      <c r="H50" s="2">
        <v>46162</v>
      </c>
      <c r="I50" s="1">
        <v>46252</v>
      </c>
      <c r="J50">
        <v>36</v>
      </c>
      <c r="K50" t="s">
        <v>18</v>
      </c>
      <c r="L50" t="s">
        <v>19</v>
      </c>
      <c r="M50">
        <v>8382</v>
      </c>
      <c r="P50" t="s">
        <v>160</v>
      </c>
    </row>
    <row r="51" spans="1:16" x14ac:dyDescent="0.35">
      <c r="A51" s="1">
        <v>46113</v>
      </c>
      <c r="B51" t="s">
        <v>161</v>
      </c>
      <c r="C51">
        <v>3688</v>
      </c>
      <c r="D51" t="s">
        <v>26</v>
      </c>
      <c r="E51" t="s">
        <v>15</v>
      </c>
      <c r="F51">
        <v>260.04000000000002</v>
      </c>
      <c r="G51" t="s">
        <v>16</v>
      </c>
      <c r="H51" s="2">
        <v>46162</v>
      </c>
      <c r="I51" s="1">
        <v>46252</v>
      </c>
      <c r="J51">
        <v>36</v>
      </c>
      <c r="K51" t="s">
        <v>18</v>
      </c>
      <c r="L51" t="s">
        <v>19</v>
      </c>
      <c r="O51">
        <v>41151</v>
      </c>
      <c r="P51" t="s">
        <v>162</v>
      </c>
    </row>
    <row r="52" spans="1:16" x14ac:dyDescent="0.35">
      <c r="A52" s="1">
        <v>46113</v>
      </c>
      <c r="B52" t="s">
        <v>163</v>
      </c>
      <c r="C52">
        <v>35</v>
      </c>
      <c r="D52" t="s">
        <v>39</v>
      </c>
      <c r="E52" t="s">
        <v>15</v>
      </c>
      <c r="F52">
        <v>3099.14</v>
      </c>
      <c r="G52" t="s">
        <v>37</v>
      </c>
      <c r="H52" s="2">
        <v>46162</v>
      </c>
      <c r="I52" s="1">
        <v>46252</v>
      </c>
      <c r="J52">
        <v>36</v>
      </c>
      <c r="K52" t="s">
        <v>62</v>
      </c>
      <c r="L52" t="s">
        <v>28</v>
      </c>
      <c r="P52" t="s">
        <v>164</v>
      </c>
    </row>
    <row r="53" spans="1:16" x14ac:dyDescent="0.35">
      <c r="A53" s="1">
        <v>46113</v>
      </c>
      <c r="B53" t="s">
        <v>165</v>
      </c>
      <c r="C53">
        <v>4647</v>
      </c>
      <c r="D53" t="s">
        <v>46</v>
      </c>
      <c r="E53" t="s">
        <v>15</v>
      </c>
      <c r="F53">
        <v>2462.15</v>
      </c>
      <c r="G53" t="s">
        <v>43</v>
      </c>
      <c r="H53" s="2">
        <v>46162</v>
      </c>
      <c r="I53" s="1">
        <v>46252</v>
      </c>
      <c r="J53">
        <v>36</v>
      </c>
      <c r="K53" t="s">
        <v>18</v>
      </c>
      <c r="L53" t="s">
        <v>19</v>
      </c>
      <c r="M53">
        <v>8361</v>
      </c>
      <c r="P53" t="s">
        <v>47</v>
      </c>
    </row>
    <row r="54" spans="1:16" x14ac:dyDescent="0.35">
      <c r="A54" s="1">
        <v>46113</v>
      </c>
      <c r="B54" t="s">
        <v>166</v>
      </c>
      <c r="C54">
        <v>2857</v>
      </c>
      <c r="D54" t="s">
        <v>56</v>
      </c>
      <c r="E54" t="s">
        <v>22</v>
      </c>
      <c r="F54">
        <v>1068.05</v>
      </c>
      <c r="G54" t="s">
        <v>37</v>
      </c>
      <c r="H54" s="2">
        <v>46162</v>
      </c>
      <c r="I54" s="1">
        <v>46252</v>
      </c>
      <c r="J54">
        <v>36</v>
      </c>
      <c r="K54" t="s">
        <v>24</v>
      </c>
      <c r="L54" t="s">
        <v>19</v>
      </c>
      <c r="M54">
        <v>8375</v>
      </c>
      <c r="P54" t="s">
        <v>57</v>
      </c>
    </row>
    <row r="55" spans="1:16" x14ac:dyDescent="0.35">
      <c r="A55" s="1">
        <v>46113</v>
      </c>
      <c r="B55" t="s">
        <v>167</v>
      </c>
      <c r="C55">
        <v>1602</v>
      </c>
      <c r="D55" t="s">
        <v>59</v>
      </c>
      <c r="E55" t="s">
        <v>15</v>
      </c>
      <c r="F55">
        <v>3361.58</v>
      </c>
      <c r="G55" t="s">
        <v>60</v>
      </c>
      <c r="H55" s="2">
        <v>46162</v>
      </c>
      <c r="I55" s="1">
        <v>46252</v>
      </c>
      <c r="J55">
        <v>36</v>
      </c>
      <c r="K55" t="s">
        <v>18</v>
      </c>
      <c r="L55" t="s">
        <v>28</v>
      </c>
      <c r="P55" t="s">
        <v>61</v>
      </c>
    </row>
    <row r="56" spans="1:16" x14ac:dyDescent="0.35">
      <c r="A56" s="1">
        <v>46113</v>
      </c>
      <c r="B56" t="s">
        <v>168</v>
      </c>
      <c r="C56">
        <v>1870</v>
      </c>
      <c r="D56" t="s">
        <v>21</v>
      </c>
      <c r="E56" t="s">
        <v>22</v>
      </c>
      <c r="F56">
        <v>778.08</v>
      </c>
      <c r="G56" t="s">
        <v>16</v>
      </c>
      <c r="H56" s="2">
        <v>46162</v>
      </c>
      <c r="I56" s="1">
        <v>46252</v>
      </c>
      <c r="J56">
        <v>36</v>
      </c>
      <c r="K56" t="s">
        <v>24</v>
      </c>
      <c r="L56" t="s">
        <v>19</v>
      </c>
      <c r="M56">
        <v>8325</v>
      </c>
      <c r="P56" t="s">
        <v>169</v>
      </c>
    </row>
    <row r="57" spans="1:16" x14ac:dyDescent="0.35">
      <c r="A57" s="1">
        <v>46113</v>
      </c>
      <c r="B57" t="s">
        <v>170</v>
      </c>
      <c r="C57">
        <v>405</v>
      </c>
      <c r="D57" t="s">
        <v>69</v>
      </c>
      <c r="E57" t="s">
        <v>15</v>
      </c>
      <c r="F57">
        <v>325.39999999999998</v>
      </c>
      <c r="G57" t="s">
        <v>70</v>
      </c>
      <c r="H57" s="2">
        <v>46162</v>
      </c>
      <c r="I57" s="1">
        <v>46252</v>
      </c>
      <c r="J57">
        <v>36</v>
      </c>
      <c r="K57" t="s">
        <v>18</v>
      </c>
      <c r="L57" t="s">
        <v>19</v>
      </c>
      <c r="M57">
        <v>8350</v>
      </c>
      <c r="P57" t="s">
        <v>171</v>
      </c>
    </row>
    <row r="58" spans="1:16" x14ac:dyDescent="0.35">
      <c r="A58" s="1">
        <v>46113</v>
      </c>
      <c r="B58" t="s">
        <v>172</v>
      </c>
      <c r="C58">
        <v>2622</v>
      </c>
      <c r="D58" t="s">
        <v>173</v>
      </c>
      <c r="E58" t="s">
        <v>15</v>
      </c>
      <c r="F58">
        <v>2804.54</v>
      </c>
      <c r="G58" t="s">
        <v>65</v>
      </c>
      <c r="H58" s="2">
        <v>46162</v>
      </c>
      <c r="I58" s="1">
        <v>46252</v>
      </c>
      <c r="J58">
        <v>36</v>
      </c>
      <c r="K58" t="s">
        <v>24</v>
      </c>
      <c r="L58" t="s">
        <v>141</v>
      </c>
      <c r="P58" t="s">
        <v>32</v>
      </c>
    </row>
    <row r="59" spans="1:16" x14ac:dyDescent="0.35">
      <c r="A59" s="1">
        <v>46113</v>
      </c>
      <c r="B59" t="s">
        <v>174</v>
      </c>
      <c r="C59">
        <v>2762</v>
      </c>
      <c r="D59" t="s">
        <v>93</v>
      </c>
      <c r="E59" t="s">
        <v>22</v>
      </c>
      <c r="F59">
        <v>4012.47</v>
      </c>
      <c r="G59" t="s">
        <v>16</v>
      </c>
      <c r="H59" s="2">
        <v>46162</v>
      </c>
      <c r="I59" s="1">
        <v>46252</v>
      </c>
      <c r="J59">
        <v>36</v>
      </c>
      <c r="K59" t="s">
        <v>24</v>
      </c>
      <c r="L59" t="s">
        <v>141</v>
      </c>
      <c r="P59" t="s">
        <v>138</v>
      </c>
    </row>
    <row r="60" spans="1:16" x14ac:dyDescent="0.35">
      <c r="A60" s="1">
        <v>46113</v>
      </c>
      <c r="B60" t="s">
        <v>175</v>
      </c>
      <c r="C60">
        <v>163</v>
      </c>
      <c r="D60" t="s">
        <v>96</v>
      </c>
      <c r="E60" t="s">
        <v>15</v>
      </c>
      <c r="F60">
        <v>6834.93</v>
      </c>
      <c r="G60" t="s">
        <v>43</v>
      </c>
      <c r="H60" s="2">
        <v>46162</v>
      </c>
      <c r="I60" s="1">
        <v>46252</v>
      </c>
      <c r="J60">
        <v>36</v>
      </c>
      <c r="K60" t="s">
        <v>24</v>
      </c>
      <c r="L60" t="s">
        <v>19</v>
      </c>
      <c r="M60">
        <v>8341</v>
      </c>
      <c r="P60" t="s">
        <v>97</v>
      </c>
    </row>
    <row r="61" spans="1:16" x14ac:dyDescent="0.35">
      <c r="A61" s="1">
        <v>46113</v>
      </c>
      <c r="B61" t="s">
        <v>176</v>
      </c>
      <c r="C61">
        <v>2434</v>
      </c>
      <c r="D61" t="s">
        <v>108</v>
      </c>
      <c r="E61" t="s">
        <v>15</v>
      </c>
      <c r="F61">
        <v>998.87</v>
      </c>
      <c r="G61" t="s">
        <v>81</v>
      </c>
      <c r="H61" s="2">
        <v>46162</v>
      </c>
      <c r="I61" s="1">
        <v>46252</v>
      </c>
      <c r="J61">
        <v>36</v>
      </c>
      <c r="K61" t="s">
        <v>62</v>
      </c>
      <c r="L61" t="s">
        <v>19</v>
      </c>
      <c r="P61" t="s">
        <v>32</v>
      </c>
    </row>
    <row r="62" spans="1:16" x14ac:dyDescent="0.35">
      <c r="A62" s="1">
        <v>46113</v>
      </c>
      <c r="B62" t="s">
        <v>177</v>
      </c>
      <c r="C62">
        <v>3825</v>
      </c>
      <c r="D62" t="s">
        <v>121</v>
      </c>
      <c r="E62" t="s">
        <v>15</v>
      </c>
      <c r="F62">
        <v>5102.08</v>
      </c>
      <c r="G62" t="s">
        <v>70</v>
      </c>
      <c r="H62" s="2">
        <v>46162</v>
      </c>
      <c r="I62" s="1">
        <v>46252</v>
      </c>
      <c r="J62">
        <v>36</v>
      </c>
      <c r="K62" t="s">
        <v>18</v>
      </c>
      <c r="L62" t="s">
        <v>19</v>
      </c>
      <c r="M62">
        <v>8345</v>
      </c>
      <c r="P62" t="s">
        <v>178</v>
      </c>
    </row>
    <row r="63" spans="1:16" x14ac:dyDescent="0.35">
      <c r="A63" s="1">
        <v>46113</v>
      </c>
      <c r="B63" t="s">
        <v>179</v>
      </c>
      <c r="C63">
        <v>6023</v>
      </c>
      <c r="D63" t="s">
        <v>124</v>
      </c>
      <c r="E63" t="s">
        <v>22</v>
      </c>
      <c r="F63">
        <v>145.34</v>
      </c>
      <c r="G63" t="s">
        <v>16</v>
      </c>
      <c r="H63" s="2">
        <v>46162</v>
      </c>
      <c r="I63" s="1">
        <v>46252</v>
      </c>
      <c r="J63">
        <v>36</v>
      </c>
      <c r="K63" t="s">
        <v>33</v>
      </c>
      <c r="L63" t="s">
        <v>19</v>
      </c>
      <c r="P63" t="s">
        <v>32</v>
      </c>
    </row>
    <row r="64" spans="1:16" x14ac:dyDescent="0.35">
      <c r="A64" s="1">
        <v>46113</v>
      </c>
      <c r="B64" t="s">
        <v>180</v>
      </c>
      <c r="C64">
        <v>2728</v>
      </c>
      <c r="D64" t="s">
        <v>127</v>
      </c>
      <c r="E64" t="s">
        <v>15</v>
      </c>
      <c r="F64">
        <v>64.540000000000006</v>
      </c>
      <c r="G64" t="s">
        <v>37</v>
      </c>
      <c r="H64" s="2">
        <v>46162</v>
      </c>
      <c r="I64" s="1">
        <v>46252</v>
      </c>
      <c r="J64">
        <v>36</v>
      </c>
      <c r="K64" t="s">
        <v>33</v>
      </c>
      <c r="L64" t="s">
        <v>141</v>
      </c>
      <c r="P64" t="s">
        <v>32</v>
      </c>
    </row>
    <row r="65" spans="1:16" x14ac:dyDescent="0.35">
      <c r="A65" s="1">
        <v>46113</v>
      </c>
      <c r="B65" t="s">
        <v>181</v>
      </c>
      <c r="C65">
        <v>1042</v>
      </c>
      <c r="D65" t="s">
        <v>131</v>
      </c>
      <c r="E65" t="s">
        <v>22</v>
      </c>
      <c r="F65">
        <v>546.28</v>
      </c>
      <c r="G65" t="s">
        <v>70</v>
      </c>
      <c r="H65" s="2">
        <v>46162</v>
      </c>
      <c r="I65" s="1">
        <v>46252</v>
      </c>
      <c r="J65">
        <v>36</v>
      </c>
      <c r="K65" t="s">
        <v>62</v>
      </c>
      <c r="L65" t="s">
        <v>19</v>
      </c>
      <c r="P65" t="s">
        <v>182</v>
      </c>
    </row>
    <row r="66" spans="1:16" x14ac:dyDescent="0.35">
      <c r="A66" s="1">
        <v>46113</v>
      </c>
      <c r="B66" t="s">
        <v>183</v>
      </c>
      <c r="C66">
        <v>128</v>
      </c>
      <c r="D66" t="s">
        <v>134</v>
      </c>
      <c r="E66" t="s">
        <v>22</v>
      </c>
      <c r="F66">
        <v>1041.48</v>
      </c>
      <c r="G66" t="s">
        <v>31</v>
      </c>
      <c r="H66" s="2">
        <v>46162</v>
      </c>
      <c r="I66" s="1">
        <v>46252</v>
      </c>
      <c r="J66">
        <v>36</v>
      </c>
      <c r="K66" t="s">
        <v>24</v>
      </c>
      <c r="L66" t="s">
        <v>19</v>
      </c>
      <c r="M66">
        <v>8367</v>
      </c>
      <c r="P66" t="s">
        <v>135</v>
      </c>
    </row>
    <row r="67" spans="1:16" x14ac:dyDescent="0.35">
      <c r="A67" s="1">
        <v>46113</v>
      </c>
      <c r="B67" t="s">
        <v>184</v>
      </c>
      <c r="C67">
        <v>164</v>
      </c>
      <c r="D67" t="s">
        <v>148</v>
      </c>
      <c r="E67" t="s">
        <v>22</v>
      </c>
      <c r="F67">
        <v>3401.75</v>
      </c>
      <c r="G67" t="s">
        <v>31</v>
      </c>
      <c r="H67" s="2">
        <v>46162</v>
      </c>
      <c r="I67" s="1">
        <v>46252</v>
      </c>
      <c r="J67">
        <v>36</v>
      </c>
      <c r="K67" t="s">
        <v>24</v>
      </c>
      <c r="L67" t="s">
        <v>19</v>
      </c>
      <c r="M67">
        <v>8352</v>
      </c>
      <c r="P67" t="s">
        <v>149</v>
      </c>
    </row>
    <row r="68" spans="1:16" x14ac:dyDescent="0.35">
      <c r="A68" s="1">
        <v>46113</v>
      </c>
      <c r="B68" t="s">
        <v>185</v>
      </c>
      <c r="C68">
        <v>2353</v>
      </c>
      <c r="D68" t="s">
        <v>151</v>
      </c>
      <c r="E68" t="s">
        <v>22</v>
      </c>
      <c r="F68">
        <v>81.55</v>
      </c>
      <c r="G68" t="s">
        <v>16</v>
      </c>
      <c r="H68" s="2">
        <v>46162</v>
      </c>
      <c r="I68" s="1">
        <v>46252</v>
      </c>
      <c r="J68">
        <v>36</v>
      </c>
      <c r="K68" t="s">
        <v>18</v>
      </c>
      <c r="L68" t="s">
        <v>19</v>
      </c>
      <c r="M68">
        <v>8349</v>
      </c>
      <c r="P68" t="s">
        <v>152</v>
      </c>
    </row>
    <row r="69" spans="1:16" x14ac:dyDescent="0.35">
      <c r="A69" s="1">
        <v>46113</v>
      </c>
      <c r="B69" t="s">
        <v>186</v>
      </c>
      <c r="C69">
        <v>121</v>
      </c>
      <c r="D69" t="s">
        <v>154</v>
      </c>
      <c r="E69" t="s">
        <v>15</v>
      </c>
      <c r="F69">
        <v>3271.75</v>
      </c>
      <c r="G69" t="s">
        <v>16</v>
      </c>
      <c r="H69" s="2">
        <v>46162</v>
      </c>
      <c r="I69" s="1">
        <v>46252</v>
      </c>
      <c r="J69">
        <v>36</v>
      </c>
      <c r="K69" t="s">
        <v>18</v>
      </c>
      <c r="L69" t="s">
        <v>19</v>
      </c>
      <c r="M69">
        <v>8330</v>
      </c>
      <c r="N69">
        <v>8274</v>
      </c>
      <c r="P69" t="s">
        <v>187</v>
      </c>
    </row>
    <row r="70" spans="1:16" x14ac:dyDescent="0.35">
      <c r="A70" s="1">
        <v>46113</v>
      </c>
      <c r="B70" t="s">
        <v>188</v>
      </c>
      <c r="C70">
        <v>5680</v>
      </c>
      <c r="D70" t="s">
        <v>189</v>
      </c>
      <c r="E70" t="s">
        <v>15</v>
      </c>
      <c r="F70">
        <v>820.8</v>
      </c>
      <c r="G70" t="s">
        <v>43</v>
      </c>
      <c r="H70" s="2">
        <v>46162</v>
      </c>
      <c r="I70" s="1">
        <v>46252</v>
      </c>
      <c r="J70">
        <v>36</v>
      </c>
      <c r="K70" t="s">
        <v>62</v>
      </c>
      <c r="L70" t="s">
        <v>19</v>
      </c>
      <c r="P70" t="s">
        <v>32</v>
      </c>
    </row>
    <row r="71" spans="1:16" x14ac:dyDescent="0.35">
      <c r="A71" s="1">
        <v>46113</v>
      </c>
      <c r="B71" t="s">
        <v>190</v>
      </c>
      <c r="C71">
        <v>372</v>
      </c>
      <c r="D71" t="s">
        <v>191</v>
      </c>
      <c r="E71" t="s">
        <v>15</v>
      </c>
      <c r="F71">
        <v>0.01</v>
      </c>
      <c r="G71" t="s">
        <v>37</v>
      </c>
      <c r="H71" s="2">
        <v>46162</v>
      </c>
      <c r="I71" s="1">
        <v>46252</v>
      </c>
      <c r="J71">
        <v>36</v>
      </c>
      <c r="K71" t="s">
        <v>24</v>
      </c>
      <c r="L71" t="s">
        <v>19</v>
      </c>
      <c r="M71">
        <v>8427</v>
      </c>
      <c r="P71" t="s">
        <v>192</v>
      </c>
    </row>
    <row r="72" spans="1:16" x14ac:dyDescent="0.35">
      <c r="A72" s="1">
        <v>46113</v>
      </c>
      <c r="B72" t="s">
        <v>193</v>
      </c>
      <c r="C72">
        <v>2404</v>
      </c>
      <c r="D72" t="s">
        <v>194</v>
      </c>
      <c r="E72" t="s">
        <v>15</v>
      </c>
      <c r="F72">
        <v>5.09</v>
      </c>
      <c r="G72" t="s">
        <v>37</v>
      </c>
      <c r="H72" s="2">
        <v>46162</v>
      </c>
      <c r="I72" s="1">
        <v>46252</v>
      </c>
      <c r="J72">
        <v>36</v>
      </c>
      <c r="K72" t="s">
        <v>33</v>
      </c>
      <c r="P72" t="s">
        <v>32</v>
      </c>
    </row>
    <row r="73" spans="1:16" x14ac:dyDescent="0.35">
      <c r="A73" s="1">
        <v>46113</v>
      </c>
      <c r="B73" t="s">
        <v>195</v>
      </c>
      <c r="C73">
        <v>2695</v>
      </c>
      <c r="D73" t="s">
        <v>196</v>
      </c>
      <c r="E73" t="s">
        <v>22</v>
      </c>
      <c r="F73">
        <v>220.8</v>
      </c>
      <c r="G73" t="s">
        <v>70</v>
      </c>
      <c r="H73" s="2">
        <v>46162</v>
      </c>
      <c r="I73" s="1">
        <v>46252</v>
      </c>
      <c r="J73">
        <v>36</v>
      </c>
      <c r="K73" t="s">
        <v>18</v>
      </c>
      <c r="L73" t="s">
        <v>19</v>
      </c>
      <c r="M73">
        <v>8347</v>
      </c>
      <c r="P73" t="s">
        <v>197</v>
      </c>
    </row>
    <row r="74" spans="1:16" x14ac:dyDescent="0.35">
      <c r="A74" s="1">
        <v>46113</v>
      </c>
      <c r="B74" t="s">
        <v>198</v>
      </c>
      <c r="C74">
        <v>1144</v>
      </c>
      <c r="D74" t="s">
        <v>199</v>
      </c>
      <c r="E74" t="s">
        <v>22</v>
      </c>
      <c r="F74">
        <v>2397.88</v>
      </c>
      <c r="G74" t="s">
        <v>70</v>
      </c>
      <c r="H74" s="2">
        <v>46162</v>
      </c>
      <c r="I74" s="1">
        <v>46252</v>
      </c>
      <c r="J74">
        <v>36</v>
      </c>
      <c r="K74" t="s">
        <v>62</v>
      </c>
      <c r="L74" t="s">
        <v>28</v>
      </c>
      <c r="P74" t="s">
        <v>61</v>
      </c>
    </row>
    <row r="75" spans="1:16" x14ac:dyDescent="0.35">
      <c r="A75" s="1">
        <v>46113</v>
      </c>
      <c r="B75" t="s">
        <v>200</v>
      </c>
      <c r="C75">
        <v>2508</v>
      </c>
      <c r="D75" t="s">
        <v>201</v>
      </c>
      <c r="E75" t="s">
        <v>15</v>
      </c>
      <c r="F75">
        <v>4098.87</v>
      </c>
      <c r="G75" t="s">
        <v>43</v>
      </c>
      <c r="H75" s="2">
        <v>46162</v>
      </c>
      <c r="I75" s="1">
        <v>46252</v>
      </c>
      <c r="J75">
        <v>36</v>
      </c>
      <c r="K75" t="s">
        <v>18</v>
      </c>
      <c r="L75" t="s">
        <v>28</v>
      </c>
      <c r="P75" t="s">
        <v>138</v>
      </c>
    </row>
    <row r="76" spans="1:16" x14ac:dyDescent="0.35">
      <c r="A76" s="1">
        <v>46113</v>
      </c>
      <c r="B76" t="s">
        <v>202</v>
      </c>
      <c r="C76">
        <v>3684</v>
      </c>
      <c r="D76" t="s">
        <v>203</v>
      </c>
      <c r="E76" t="s">
        <v>15</v>
      </c>
      <c r="F76">
        <v>252.37</v>
      </c>
      <c r="G76" t="s">
        <v>16</v>
      </c>
      <c r="H76" s="2">
        <v>46162</v>
      </c>
      <c r="I76" s="1">
        <v>46252</v>
      </c>
      <c r="J76">
        <v>36</v>
      </c>
      <c r="K76" t="s">
        <v>18</v>
      </c>
      <c r="L76" t="s">
        <v>28</v>
      </c>
      <c r="O76">
        <v>36291</v>
      </c>
      <c r="P76" t="s">
        <v>204</v>
      </c>
    </row>
    <row r="77" spans="1:16" x14ac:dyDescent="0.35">
      <c r="A77" s="1">
        <v>46113</v>
      </c>
      <c r="B77" t="s">
        <v>205</v>
      </c>
      <c r="C77">
        <v>4766</v>
      </c>
      <c r="D77" t="s">
        <v>206</v>
      </c>
      <c r="E77" t="s">
        <v>15</v>
      </c>
      <c r="F77">
        <v>3566.47</v>
      </c>
      <c r="G77" t="s">
        <v>37</v>
      </c>
      <c r="H77" s="2">
        <v>46162</v>
      </c>
      <c r="I77" s="1">
        <v>46252</v>
      </c>
      <c r="J77">
        <v>36</v>
      </c>
      <c r="K77" t="s">
        <v>62</v>
      </c>
      <c r="L77" t="s">
        <v>19</v>
      </c>
      <c r="P77" t="s">
        <v>32</v>
      </c>
    </row>
    <row r="78" spans="1:16" x14ac:dyDescent="0.35">
      <c r="A78" s="1">
        <v>46113</v>
      </c>
      <c r="B78" t="s">
        <v>207</v>
      </c>
      <c r="C78">
        <v>272</v>
      </c>
      <c r="D78" t="s">
        <v>208</v>
      </c>
      <c r="E78" t="s">
        <v>15</v>
      </c>
      <c r="F78">
        <v>557.26</v>
      </c>
      <c r="G78" t="s">
        <v>31</v>
      </c>
      <c r="H78" s="2">
        <v>46162</v>
      </c>
      <c r="I78" s="1">
        <v>46252</v>
      </c>
      <c r="J78">
        <v>36</v>
      </c>
      <c r="K78" t="s">
        <v>62</v>
      </c>
      <c r="L78" t="s">
        <v>19</v>
      </c>
      <c r="P78" t="s">
        <v>32</v>
      </c>
    </row>
    <row r="79" spans="1:16" x14ac:dyDescent="0.35">
      <c r="A79" s="1">
        <v>46113</v>
      </c>
      <c r="B79" t="s">
        <v>209</v>
      </c>
      <c r="C79">
        <v>3664</v>
      </c>
      <c r="D79" t="s">
        <v>210</v>
      </c>
      <c r="E79" t="s">
        <v>15</v>
      </c>
      <c r="F79">
        <v>576.41999999999996</v>
      </c>
      <c r="G79" t="s">
        <v>78</v>
      </c>
      <c r="H79" s="2">
        <v>46162</v>
      </c>
      <c r="I79" s="1">
        <v>46252</v>
      </c>
      <c r="J79">
        <v>36</v>
      </c>
      <c r="K79" t="s">
        <v>62</v>
      </c>
      <c r="L79" t="s">
        <v>19</v>
      </c>
      <c r="P79" t="s">
        <v>32</v>
      </c>
    </row>
    <row r="80" spans="1:16" x14ac:dyDescent="0.35">
      <c r="A80" s="1">
        <v>46113</v>
      </c>
      <c r="B80" t="s">
        <v>211</v>
      </c>
      <c r="C80">
        <v>69</v>
      </c>
      <c r="D80" t="s">
        <v>212</v>
      </c>
      <c r="E80" t="s">
        <v>15</v>
      </c>
      <c r="F80">
        <v>645.70000000000005</v>
      </c>
      <c r="G80" t="s">
        <v>31</v>
      </c>
      <c r="H80" s="2">
        <v>46162</v>
      </c>
      <c r="I80" s="1">
        <v>46252</v>
      </c>
      <c r="J80">
        <v>36</v>
      </c>
      <c r="K80" t="s">
        <v>62</v>
      </c>
      <c r="L80" t="s">
        <v>19</v>
      </c>
      <c r="P80" t="s">
        <v>32</v>
      </c>
    </row>
    <row r="81" spans="1:16" x14ac:dyDescent="0.35">
      <c r="A81" s="1">
        <v>46113</v>
      </c>
      <c r="B81" t="s">
        <v>213</v>
      </c>
      <c r="C81">
        <v>276</v>
      </c>
      <c r="D81" t="s">
        <v>67</v>
      </c>
      <c r="E81" t="s">
        <v>22</v>
      </c>
      <c r="F81">
        <v>50.65</v>
      </c>
      <c r="G81" t="s">
        <v>43</v>
      </c>
      <c r="H81" s="2">
        <v>46162</v>
      </c>
      <c r="I81" s="1">
        <v>46252</v>
      </c>
      <c r="J81">
        <v>36</v>
      </c>
      <c r="K81" t="s">
        <v>33</v>
      </c>
      <c r="P81" t="s">
        <v>32</v>
      </c>
    </row>
    <row r="82" spans="1:16" x14ac:dyDescent="0.35">
      <c r="A82" s="1">
        <v>46113</v>
      </c>
      <c r="B82" t="s">
        <v>214</v>
      </c>
      <c r="C82">
        <v>2776</v>
      </c>
      <c r="D82" t="s">
        <v>215</v>
      </c>
      <c r="E82" t="s">
        <v>15</v>
      </c>
      <c r="F82">
        <v>1453.44</v>
      </c>
      <c r="G82" t="s">
        <v>37</v>
      </c>
      <c r="H82" s="2">
        <v>46162</v>
      </c>
      <c r="I82" s="1">
        <v>46252</v>
      </c>
      <c r="J82">
        <v>36</v>
      </c>
      <c r="K82" t="s">
        <v>18</v>
      </c>
      <c r="L82" t="s">
        <v>19</v>
      </c>
      <c r="P82" t="s">
        <v>216</v>
      </c>
    </row>
    <row r="83" spans="1:16" x14ac:dyDescent="0.35">
      <c r="A83" s="1">
        <v>46113</v>
      </c>
      <c r="B83" t="s">
        <v>217</v>
      </c>
      <c r="C83">
        <v>761</v>
      </c>
      <c r="D83" t="s">
        <v>87</v>
      </c>
      <c r="E83" t="s">
        <v>15</v>
      </c>
      <c r="F83">
        <v>1032</v>
      </c>
      <c r="G83" t="s">
        <v>52</v>
      </c>
      <c r="H83" s="2">
        <v>46162</v>
      </c>
      <c r="I83" s="1">
        <v>46252</v>
      </c>
      <c r="J83">
        <v>36</v>
      </c>
      <c r="K83" t="s">
        <v>62</v>
      </c>
      <c r="L83" t="s">
        <v>19</v>
      </c>
      <c r="P83" t="s">
        <v>218</v>
      </c>
    </row>
    <row r="84" spans="1:16" x14ac:dyDescent="0.35">
      <c r="A84" s="1">
        <v>46113</v>
      </c>
      <c r="B84" t="s">
        <v>219</v>
      </c>
      <c r="C84">
        <v>190</v>
      </c>
      <c r="D84" t="s">
        <v>110</v>
      </c>
      <c r="E84" t="s">
        <v>15</v>
      </c>
      <c r="F84">
        <v>277.14</v>
      </c>
      <c r="G84" t="s">
        <v>70</v>
      </c>
      <c r="H84" s="2">
        <v>46162</v>
      </c>
      <c r="I84" s="1">
        <v>46252</v>
      </c>
      <c r="J84">
        <v>36</v>
      </c>
      <c r="K84" t="s">
        <v>34</v>
      </c>
      <c r="L84" t="s">
        <v>19</v>
      </c>
      <c r="M84">
        <v>8359</v>
      </c>
      <c r="P84" t="s">
        <v>220</v>
      </c>
    </row>
    <row r="85" spans="1:16" x14ac:dyDescent="0.35">
      <c r="A85" s="1">
        <v>46113</v>
      </c>
      <c r="B85" t="s">
        <v>221</v>
      </c>
      <c r="C85">
        <v>447</v>
      </c>
      <c r="D85" t="s">
        <v>144</v>
      </c>
      <c r="E85" t="s">
        <v>15</v>
      </c>
      <c r="F85">
        <v>22.24</v>
      </c>
      <c r="G85" t="s">
        <v>65</v>
      </c>
      <c r="H85" s="2">
        <v>46162</v>
      </c>
      <c r="I85" s="1">
        <v>46252</v>
      </c>
      <c r="J85">
        <v>36</v>
      </c>
      <c r="K85" t="s">
        <v>33</v>
      </c>
      <c r="P85" t="s">
        <v>32</v>
      </c>
    </row>
    <row r="86" spans="1:16" x14ac:dyDescent="0.35">
      <c r="A86" s="1">
        <v>46113</v>
      </c>
      <c r="B86" t="s">
        <v>222</v>
      </c>
      <c r="C86">
        <v>6114</v>
      </c>
      <c r="D86" t="s">
        <v>116</v>
      </c>
      <c r="E86" t="s">
        <v>15</v>
      </c>
      <c r="F86">
        <v>576.46</v>
      </c>
      <c r="G86" t="s">
        <v>43</v>
      </c>
      <c r="H86" s="2">
        <v>46162</v>
      </c>
      <c r="I86" s="1">
        <v>46252</v>
      </c>
      <c r="J86">
        <v>36</v>
      </c>
      <c r="K86" t="s">
        <v>18</v>
      </c>
      <c r="L86" t="s">
        <v>19</v>
      </c>
      <c r="M86">
        <v>8422</v>
      </c>
      <c r="P86" t="s">
        <v>223</v>
      </c>
    </row>
    <row r="87" spans="1:16" x14ac:dyDescent="0.35">
      <c r="A87" s="1">
        <v>46113</v>
      </c>
      <c r="B87" t="s">
        <v>224</v>
      </c>
      <c r="C87">
        <v>1692</v>
      </c>
      <c r="D87" t="s">
        <v>146</v>
      </c>
      <c r="E87" t="s">
        <v>15</v>
      </c>
      <c r="F87">
        <v>16.43</v>
      </c>
      <c r="G87" t="s">
        <v>65</v>
      </c>
      <c r="H87" s="2">
        <v>46162</v>
      </c>
      <c r="I87" s="1">
        <v>46252</v>
      </c>
      <c r="J87">
        <v>36</v>
      </c>
      <c r="K87" t="s">
        <v>33</v>
      </c>
      <c r="P87" t="s">
        <v>32</v>
      </c>
    </row>
    <row r="88" spans="1:16" x14ac:dyDescent="0.35">
      <c r="A88" s="1">
        <v>46113</v>
      </c>
      <c r="B88" t="s">
        <v>225</v>
      </c>
      <c r="C88">
        <v>1688</v>
      </c>
      <c r="D88" t="s">
        <v>226</v>
      </c>
      <c r="E88" t="s">
        <v>22</v>
      </c>
      <c r="F88">
        <v>258.23</v>
      </c>
      <c r="G88" t="s">
        <v>31</v>
      </c>
      <c r="H88" s="2">
        <v>46162</v>
      </c>
      <c r="I88" s="1">
        <v>46252</v>
      </c>
      <c r="J88">
        <v>36</v>
      </c>
      <c r="K88" t="s">
        <v>33</v>
      </c>
      <c r="P88" t="s">
        <v>32</v>
      </c>
    </row>
    <row r="89" spans="1:16" x14ac:dyDescent="0.35">
      <c r="A89" s="1">
        <v>46113</v>
      </c>
      <c r="B89" t="s">
        <v>227</v>
      </c>
      <c r="C89">
        <v>217</v>
      </c>
      <c r="D89" t="s">
        <v>228</v>
      </c>
      <c r="E89" t="s">
        <v>15</v>
      </c>
      <c r="F89">
        <v>82.1</v>
      </c>
      <c r="G89" t="s">
        <v>37</v>
      </c>
      <c r="H89" s="2">
        <v>46162</v>
      </c>
      <c r="I89" s="1">
        <v>46252</v>
      </c>
      <c r="J89">
        <v>36</v>
      </c>
      <c r="K89" t="s">
        <v>18</v>
      </c>
      <c r="L89" t="s">
        <v>141</v>
      </c>
      <c r="P89" t="s">
        <v>229</v>
      </c>
    </row>
    <row r="90" spans="1:16" x14ac:dyDescent="0.35">
      <c r="A90" s="1">
        <v>46113</v>
      </c>
      <c r="B90" t="s">
        <v>230</v>
      </c>
      <c r="C90">
        <v>5790</v>
      </c>
      <c r="D90" t="s">
        <v>83</v>
      </c>
      <c r="E90" t="s">
        <v>22</v>
      </c>
      <c r="F90">
        <v>500</v>
      </c>
      <c r="G90" t="s">
        <v>43</v>
      </c>
      <c r="H90" s="2">
        <v>46162</v>
      </c>
      <c r="I90" s="1">
        <v>46252</v>
      </c>
      <c r="J90">
        <v>36</v>
      </c>
      <c r="K90" t="s">
        <v>62</v>
      </c>
      <c r="L90" t="s">
        <v>19</v>
      </c>
      <c r="P90" t="s">
        <v>32</v>
      </c>
    </row>
    <row r="91" spans="1:16" x14ac:dyDescent="0.35">
      <c r="A91" s="1">
        <v>46143</v>
      </c>
      <c r="B91" t="s">
        <v>231</v>
      </c>
      <c r="C91">
        <v>4138</v>
      </c>
      <c r="D91" t="s">
        <v>14</v>
      </c>
      <c r="E91" t="s">
        <v>15</v>
      </c>
      <c r="F91">
        <v>1545.38</v>
      </c>
      <c r="G91" t="s">
        <v>16</v>
      </c>
      <c r="H91" s="2">
        <v>46195</v>
      </c>
      <c r="I91" s="1">
        <v>46285</v>
      </c>
      <c r="J91">
        <v>69</v>
      </c>
      <c r="K91" t="s">
        <v>18</v>
      </c>
      <c r="L91" t="s">
        <v>19</v>
      </c>
      <c r="M91">
        <v>8382</v>
      </c>
      <c r="P91" t="s">
        <v>160</v>
      </c>
    </row>
    <row r="92" spans="1:16" x14ac:dyDescent="0.35">
      <c r="A92" s="1">
        <v>46143</v>
      </c>
      <c r="B92" t="s">
        <v>232</v>
      </c>
      <c r="C92">
        <v>3688</v>
      </c>
      <c r="D92" t="s">
        <v>26</v>
      </c>
      <c r="E92" t="s">
        <v>15</v>
      </c>
      <c r="F92">
        <v>4633.1000000000004</v>
      </c>
      <c r="G92" t="s">
        <v>16</v>
      </c>
      <c r="H92" s="2">
        <v>46195</v>
      </c>
      <c r="I92" s="1">
        <v>46285</v>
      </c>
      <c r="J92">
        <v>69</v>
      </c>
      <c r="K92" t="s">
        <v>62</v>
      </c>
      <c r="L92" t="s">
        <v>28</v>
      </c>
      <c r="P92" t="s">
        <v>233</v>
      </c>
    </row>
    <row r="93" spans="1:16" x14ac:dyDescent="0.35">
      <c r="A93" s="1">
        <v>46143</v>
      </c>
      <c r="B93" t="s">
        <v>234</v>
      </c>
      <c r="C93">
        <v>2404</v>
      </c>
      <c r="D93" t="s">
        <v>194</v>
      </c>
      <c r="E93" t="s">
        <v>15</v>
      </c>
      <c r="F93">
        <v>539.02</v>
      </c>
      <c r="G93" t="s">
        <v>37</v>
      </c>
      <c r="H93" s="2">
        <v>46195</v>
      </c>
      <c r="I93" s="1">
        <v>46285</v>
      </c>
      <c r="J93">
        <v>69</v>
      </c>
      <c r="K93" t="s">
        <v>24</v>
      </c>
      <c r="L93" t="s">
        <v>19</v>
      </c>
      <c r="P93" t="s">
        <v>235</v>
      </c>
    </row>
    <row r="94" spans="1:16" x14ac:dyDescent="0.35">
      <c r="A94" s="1">
        <v>46143</v>
      </c>
      <c r="B94" t="s">
        <v>236</v>
      </c>
      <c r="C94">
        <v>372</v>
      </c>
      <c r="D94" t="s">
        <v>191</v>
      </c>
      <c r="E94" t="s">
        <v>15</v>
      </c>
      <c r="F94">
        <v>237.04</v>
      </c>
      <c r="G94" t="s">
        <v>37</v>
      </c>
      <c r="H94" s="2">
        <v>46195</v>
      </c>
      <c r="I94" s="1">
        <v>46285</v>
      </c>
      <c r="J94">
        <v>69</v>
      </c>
      <c r="K94" t="s">
        <v>33</v>
      </c>
      <c r="L94" t="s">
        <v>19</v>
      </c>
      <c r="P94" t="s">
        <v>32</v>
      </c>
    </row>
    <row r="95" spans="1:16" x14ac:dyDescent="0.35">
      <c r="A95" s="1">
        <v>46143</v>
      </c>
      <c r="B95" t="s">
        <v>237</v>
      </c>
      <c r="C95">
        <v>2344</v>
      </c>
      <c r="D95" t="s">
        <v>51</v>
      </c>
      <c r="E95" t="s">
        <v>15</v>
      </c>
      <c r="F95">
        <v>2283.0300000000002</v>
      </c>
      <c r="G95" t="s">
        <v>52</v>
      </c>
      <c r="H95" s="2">
        <v>46195</v>
      </c>
      <c r="I95" s="1">
        <v>46285</v>
      </c>
      <c r="J95">
        <v>69</v>
      </c>
      <c r="K95" t="s">
        <v>24</v>
      </c>
      <c r="L95" t="s">
        <v>19</v>
      </c>
      <c r="P95" t="s">
        <v>32</v>
      </c>
    </row>
    <row r="96" spans="1:16" x14ac:dyDescent="0.35">
      <c r="A96" s="1">
        <v>46143</v>
      </c>
      <c r="B96" t="s">
        <v>238</v>
      </c>
      <c r="C96">
        <v>4486</v>
      </c>
      <c r="D96" t="s">
        <v>239</v>
      </c>
      <c r="E96" t="s">
        <v>15</v>
      </c>
      <c r="F96">
        <v>507.16</v>
      </c>
      <c r="G96" t="s">
        <v>70</v>
      </c>
      <c r="H96" s="2">
        <v>46195</v>
      </c>
      <c r="I96" s="1">
        <v>46285</v>
      </c>
      <c r="J96">
        <v>69</v>
      </c>
      <c r="K96" t="s">
        <v>62</v>
      </c>
      <c r="L96" t="s">
        <v>19</v>
      </c>
      <c r="P96" t="s">
        <v>32</v>
      </c>
    </row>
    <row r="97" spans="1:16" x14ac:dyDescent="0.35">
      <c r="A97" s="1">
        <v>46143</v>
      </c>
      <c r="B97" t="s">
        <v>240</v>
      </c>
      <c r="C97">
        <v>2857</v>
      </c>
      <c r="D97" t="s">
        <v>56</v>
      </c>
      <c r="E97" t="s">
        <v>15</v>
      </c>
      <c r="F97">
        <v>2348.73</v>
      </c>
      <c r="G97" t="s">
        <v>37</v>
      </c>
      <c r="H97" s="2">
        <v>46195</v>
      </c>
      <c r="I97" s="1">
        <v>46285</v>
      </c>
      <c r="J97">
        <v>69</v>
      </c>
      <c r="K97" t="s">
        <v>24</v>
      </c>
      <c r="L97" t="s">
        <v>19</v>
      </c>
      <c r="M97">
        <v>8375</v>
      </c>
      <c r="P97" t="s">
        <v>57</v>
      </c>
    </row>
    <row r="98" spans="1:16" x14ac:dyDescent="0.35">
      <c r="A98" s="1">
        <v>46143</v>
      </c>
      <c r="B98" t="s">
        <v>241</v>
      </c>
      <c r="C98">
        <v>1602</v>
      </c>
      <c r="D98" t="s">
        <v>59</v>
      </c>
      <c r="E98" t="s">
        <v>15</v>
      </c>
      <c r="F98">
        <v>21853.63</v>
      </c>
      <c r="G98" t="s">
        <v>60</v>
      </c>
      <c r="H98" s="2">
        <v>46195</v>
      </c>
      <c r="I98" s="1">
        <v>46285</v>
      </c>
      <c r="J98">
        <v>69</v>
      </c>
      <c r="K98" t="s">
        <v>62</v>
      </c>
      <c r="L98" t="s">
        <v>28</v>
      </c>
      <c r="P98" t="s">
        <v>61</v>
      </c>
    </row>
    <row r="99" spans="1:16" x14ac:dyDescent="0.35">
      <c r="A99" s="1">
        <v>46143</v>
      </c>
      <c r="B99" t="s">
        <v>242</v>
      </c>
      <c r="C99">
        <v>3684</v>
      </c>
      <c r="D99" t="s">
        <v>203</v>
      </c>
      <c r="E99" t="s">
        <v>15</v>
      </c>
      <c r="F99">
        <v>4662.5200000000004</v>
      </c>
      <c r="G99" t="s">
        <v>16</v>
      </c>
      <c r="H99" s="2">
        <v>46195</v>
      </c>
      <c r="I99" s="1">
        <v>46285</v>
      </c>
      <c r="J99">
        <v>69</v>
      </c>
      <c r="K99" t="s">
        <v>18</v>
      </c>
      <c r="L99" t="s">
        <v>28</v>
      </c>
      <c r="P99" t="s">
        <v>243</v>
      </c>
    </row>
    <row r="100" spans="1:16" x14ac:dyDescent="0.35">
      <c r="A100" s="1">
        <v>46143</v>
      </c>
      <c r="B100" t="s">
        <v>244</v>
      </c>
      <c r="C100">
        <v>2622</v>
      </c>
      <c r="D100" t="s">
        <v>173</v>
      </c>
      <c r="E100" t="s">
        <v>15</v>
      </c>
      <c r="F100">
        <v>15999</v>
      </c>
      <c r="G100" t="s">
        <v>65</v>
      </c>
      <c r="H100" s="2">
        <v>46195</v>
      </c>
      <c r="I100" s="1">
        <v>46285</v>
      </c>
      <c r="J100">
        <v>69</v>
      </c>
      <c r="K100" t="s">
        <v>24</v>
      </c>
      <c r="L100" t="s">
        <v>19</v>
      </c>
      <c r="P100" t="s">
        <v>32</v>
      </c>
    </row>
    <row r="101" spans="1:16" x14ac:dyDescent="0.35">
      <c r="A101" s="1">
        <v>46143</v>
      </c>
      <c r="B101" t="s">
        <v>245</v>
      </c>
      <c r="C101">
        <v>2762</v>
      </c>
      <c r="D101" t="s">
        <v>93</v>
      </c>
      <c r="E101" t="s">
        <v>15</v>
      </c>
      <c r="F101">
        <v>3885.21</v>
      </c>
      <c r="G101" t="s">
        <v>16</v>
      </c>
      <c r="H101" s="2">
        <v>46195</v>
      </c>
      <c r="I101" s="1">
        <v>46285</v>
      </c>
      <c r="J101">
        <v>69</v>
      </c>
      <c r="K101" t="s">
        <v>24</v>
      </c>
      <c r="L101" t="s">
        <v>28</v>
      </c>
      <c r="P101" t="s">
        <v>138</v>
      </c>
    </row>
    <row r="102" spans="1:16" x14ac:dyDescent="0.35">
      <c r="A102" s="1">
        <v>46143</v>
      </c>
      <c r="B102" t="s">
        <v>246</v>
      </c>
      <c r="C102">
        <v>4151</v>
      </c>
      <c r="D102" t="s">
        <v>247</v>
      </c>
      <c r="E102" t="s">
        <v>15</v>
      </c>
      <c r="F102">
        <v>51.82</v>
      </c>
      <c r="G102" t="s">
        <v>106</v>
      </c>
      <c r="H102" s="2">
        <v>46195</v>
      </c>
      <c r="I102" s="1">
        <v>46285</v>
      </c>
      <c r="J102">
        <v>69</v>
      </c>
      <c r="K102" t="s">
        <v>33</v>
      </c>
      <c r="P102" t="s">
        <v>32</v>
      </c>
    </row>
    <row r="103" spans="1:16" x14ac:dyDescent="0.35">
      <c r="A103" s="1">
        <v>46143</v>
      </c>
      <c r="B103" t="s">
        <v>248</v>
      </c>
      <c r="C103">
        <v>166</v>
      </c>
      <c r="D103" t="s">
        <v>99</v>
      </c>
      <c r="E103" t="s">
        <v>15</v>
      </c>
      <c r="F103">
        <v>1485.15</v>
      </c>
      <c r="G103" t="s">
        <v>37</v>
      </c>
      <c r="H103" s="2">
        <v>46195</v>
      </c>
      <c r="I103" s="1">
        <v>46285</v>
      </c>
      <c r="J103">
        <v>69</v>
      </c>
      <c r="K103" t="s">
        <v>18</v>
      </c>
      <c r="L103" t="s">
        <v>19</v>
      </c>
      <c r="M103">
        <v>8383</v>
      </c>
      <c r="P103" t="s">
        <v>249</v>
      </c>
    </row>
    <row r="104" spans="1:16" x14ac:dyDescent="0.35">
      <c r="A104" s="1">
        <v>46143</v>
      </c>
      <c r="B104" t="s">
        <v>250</v>
      </c>
      <c r="C104">
        <v>1948</v>
      </c>
      <c r="D104" t="s">
        <v>102</v>
      </c>
      <c r="E104" t="s">
        <v>15</v>
      </c>
      <c r="F104">
        <v>4695.97</v>
      </c>
      <c r="G104" t="s">
        <v>70</v>
      </c>
      <c r="H104" s="2">
        <v>46195</v>
      </c>
      <c r="I104" s="1">
        <v>46285</v>
      </c>
      <c r="J104">
        <v>69</v>
      </c>
      <c r="K104" t="s">
        <v>62</v>
      </c>
      <c r="L104" t="s">
        <v>28</v>
      </c>
      <c r="P104" t="s">
        <v>251</v>
      </c>
    </row>
    <row r="105" spans="1:16" x14ac:dyDescent="0.35">
      <c r="A105" s="1">
        <v>46143</v>
      </c>
      <c r="B105" t="s">
        <v>252</v>
      </c>
      <c r="C105">
        <v>2434</v>
      </c>
      <c r="D105" t="s">
        <v>108</v>
      </c>
      <c r="E105" t="s">
        <v>15</v>
      </c>
      <c r="F105">
        <v>2131.91</v>
      </c>
      <c r="G105" t="s">
        <v>81</v>
      </c>
      <c r="H105" s="2">
        <v>46195</v>
      </c>
      <c r="I105" s="1">
        <v>46285</v>
      </c>
      <c r="J105">
        <v>69</v>
      </c>
      <c r="K105" t="s">
        <v>24</v>
      </c>
      <c r="L105" t="s">
        <v>19</v>
      </c>
      <c r="P105" t="s">
        <v>32</v>
      </c>
    </row>
    <row r="106" spans="1:16" x14ac:dyDescent="0.35">
      <c r="A106" s="1">
        <v>46143</v>
      </c>
      <c r="B106" t="s">
        <v>253</v>
      </c>
      <c r="C106">
        <v>190</v>
      </c>
      <c r="D106" t="s">
        <v>110</v>
      </c>
      <c r="E106" t="s">
        <v>15</v>
      </c>
      <c r="F106">
        <v>883.53</v>
      </c>
      <c r="G106" t="s">
        <v>70</v>
      </c>
      <c r="H106" s="2">
        <v>46195</v>
      </c>
      <c r="I106" s="1">
        <v>46285</v>
      </c>
      <c r="J106">
        <v>69</v>
      </c>
      <c r="K106" t="s">
        <v>18</v>
      </c>
      <c r="L106" t="s">
        <v>19</v>
      </c>
      <c r="M106">
        <v>8359</v>
      </c>
      <c r="P106" t="s">
        <v>254</v>
      </c>
    </row>
    <row r="107" spans="1:16" x14ac:dyDescent="0.35">
      <c r="A107" s="1">
        <v>46143</v>
      </c>
      <c r="B107" t="s">
        <v>255</v>
      </c>
      <c r="C107">
        <v>3825</v>
      </c>
      <c r="D107" t="s">
        <v>121</v>
      </c>
      <c r="E107" t="s">
        <v>15</v>
      </c>
      <c r="F107">
        <v>981.33</v>
      </c>
      <c r="G107" t="s">
        <v>70</v>
      </c>
      <c r="H107" s="2">
        <v>46195</v>
      </c>
      <c r="I107" s="1">
        <v>46285</v>
      </c>
      <c r="J107">
        <v>69</v>
      </c>
      <c r="K107" t="s">
        <v>24</v>
      </c>
      <c r="L107" t="s">
        <v>19</v>
      </c>
      <c r="M107">
        <v>8345</v>
      </c>
      <c r="P107" t="s">
        <v>256</v>
      </c>
    </row>
    <row r="108" spans="1:16" x14ac:dyDescent="0.35">
      <c r="A108" s="1">
        <v>46143</v>
      </c>
      <c r="B108" t="s">
        <v>257</v>
      </c>
      <c r="C108">
        <v>6023</v>
      </c>
      <c r="D108" t="s">
        <v>124</v>
      </c>
      <c r="E108" t="s">
        <v>15</v>
      </c>
      <c r="F108">
        <v>89.34</v>
      </c>
      <c r="G108" t="s">
        <v>16</v>
      </c>
      <c r="H108" s="2">
        <v>46195</v>
      </c>
      <c r="I108" s="1">
        <v>46285</v>
      </c>
      <c r="J108">
        <v>69</v>
      </c>
      <c r="K108" t="s">
        <v>33</v>
      </c>
      <c r="L108" t="s">
        <v>19</v>
      </c>
      <c r="P108" t="s">
        <v>32</v>
      </c>
    </row>
    <row r="109" spans="1:16" x14ac:dyDescent="0.35">
      <c r="A109" s="1">
        <v>46143</v>
      </c>
      <c r="B109" t="s">
        <v>258</v>
      </c>
      <c r="C109">
        <v>2728</v>
      </c>
      <c r="D109" t="s">
        <v>127</v>
      </c>
      <c r="E109" t="s">
        <v>15</v>
      </c>
      <c r="F109">
        <v>64.540000000000006</v>
      </c>
      <c r="G109" t="s">
        <v>37</v>
      </c>
      <c r="H109" s="2">
        <v>46195</v>
      </c>
      <c r="I109" s="1">
        <v>46285</v>
      </c>
      <c r="J109">
        <v>69</v>
      </c>
      <c r="K109" t="s">
        <v>33</v>
      </c>
      <c r="P109" t="s">
        <v>32</v>
      </c>
    </row>
    <row r="110" spans="1:16" x14ac:dyDescent="0.35">
      <c r="A110" s="1">
        <v>46143</v>
      </c>
      <c r="B110" t="s">
        <v>259</v>
      </c>
      <c r="C110">
        <v>6038</v>
      </c>
      <c r="D110" t="s">
        <v>137</v>
      </c>
      <c r="E110" t="s">
        <v>15</v>
      </c>
      <c r="F110">
        <v>728.84</v>
      </c>
      <c r="G110" t="s">
        <v>37</v>
      </c>
      <c r="H110" s="2">
        <v>46195</v>
      </c>
      <c r="I110" s="1">
        <v>46285</v>
      </c>
      <c r="J110">
        <v>69</v>
      </c>
      <c r="K110" t="s">
        <v>62</v>
      </c>
      <c r="L110" t="s">
        <v>28</v>
      </c>
      <c r="P110" t="s">
        <v>138</v>
      </c>
    </row>
    <row r="111" spans="1:16" x14ac:dyDescent="0.35">
      <c r="A111" s="1">
        <v>46143</v>
      </c>
      <c r="B111" t="s">
        <v>260</v>
      </c>
      <c r="C111">
        <v>230</v>
      </c>
      <c r="D111" t="s">
        <v>261</v>
      </c>
      <c r="E111" t="s">
        <v>15</v>
      </c>
      <c r="F111">
        <v>527.83000000000004</v>
      </c>
      <c r="G111" t="s">
        <v>65</v>
      </c>
      <c r="H111" s="2">
        <v>46195</v>
      </c>
      <c r="I111" s="1">
        <v>46285</v>
      </c>
      <c r="J111">
        <v>69</v>
      </c>
      <c r="K111" t="s">
        <v>62</v>
      </c>
      <c r="L111" t="s">
        <v>19</v>
      </c>
      <c r="P111" t="s">
        <v>32</v>
      </c>
    </row>
    <row r="112" spans="1:16" x14ac:dyDescent="0.35">
      <c r="A112" s="1">
        <v>46143</v>
      </c>
      <c r="B112" t="s">
        <v>262</v>
      </c>
      <c r="C112">
        <v>164</v>
      </c>
      <c r="D112" t="s">
        <v>148</v>
      </c>
      <c r="E112" t="s">
        <v>15</v>
      </c>
      <c r="F112">
        <v>3881.54</v>
      </c>
      <c r="G112" t="s">
        <v>31</v>
      </c>
      <c r="H112" s="2">
        <v>46195</v>
      </c>
      <c r="I112" s="1">
        <v>46285</v>
      </c>
      <c r="J112">
        <v>69</v>
      </c>
      <c r="K112" t="s">
        <v>24</v>
      </c>
      <c r="L112" t="s">
        <v>19</v>
      </c>
      <c r="M112">
        <v>8352</v>
      </c>
      <c r="P112" t="s">
        <v>149</v>
      </c>
    </row>
    <row r="113" spans="1:16" x14ac:dyDescent="0.35">
      <c r="A113" s="1">
        <v>46143</v>
      </c>
      <c r="B113" t="s">
        <v>263</v>
      </c>
      <c r="C113">
        <v>2353</v>
      </c>
      <c r="D113" t="s">
        <v>151</v>
      </c>
      <c r="E113" t="s">
        <v>15</v>
      </c>
      <c r="F113">
        <v>274.26</v>
      </c>
      <c r="G113" t="s">
        <v>16</v>
      </c>
      <c r="H113" s="2">
        <v>46195</v>
      </c>
      <c r="I113" s="1">
        <v>46285</v>
      </c>
      <c r="J113">
        <v>69</v>
      </c>
      <c r="K113" t="s">
        <v>18</v>
      </c>
      <c r="L113" t="s">
        <v>19</v>
      </c>
      <c r="M113">
        <v>8349</v>
      </c>
      <c r="P113" t="s">
        <v>152</v>
      </c>
    </row>
    <row r="114" spans="1:16" x14ac:dyDescent="0.35">
      <c r="A114" s="1">
        <v>46143</v>
      </c>
      <c r="B114" t="s">
        <v>264</v>
      </c>
      <c r="C114">
        <v>121</v>
      </c>
      <c r="D114" t="s">
        <v>154</v>
      </c>
      <c r="E114" t="s">
        <v>15</v>
      </c>
      <c r="F114">
        <v>1691.81</v>
      </c>
      <c r="G114" t="s">
        <v>16</v>
      </c>
      <c r="H114" s="2">
        <v>46195</v>
      </c>
      <c r="I114" s="1">
        <v>46285</v>
      </c>
      <c r="J114">
        <v>69</v>
      </c>
      <c r="K114" t="s">
        <v>18</v>
      </c>
      <c r="L114" t="s">
        <v>19</v>
      </c>
      <c r="M114">
        <v>8330</v>
      </c>
      <c r="P114" t="s">
        <v>265</v>
      </c>
    </row>
    <row r="115" spans="1:16" x14ac:dyDescent="0.35">
      <c r="A115" s="1">
        <v>46143</v>
      </c>
      <c r="B115" t="s">
        <v>266</v>
      </c>
      <c r="C115">
        <v>255</v>
      </c>
      <c r="D115" t="s">
        <v>157</v>
      </c>
      <c r="E115" t="s">
        <v>15</v>
      </c>
      <c r="F115">
        <v>635.38</v>
      </c>
      <c r="G115" t="s">
        <v>43</v>
      </c>
      <c r="H115" s="2">
        <v>46195</v>
      </c>
      <c r="I115" s="1">
        <v>46285</v>
      </c>
      <c r="J115">
        <v>69</v>
      </c>
      <c r="K115" t="s">
        <v>18</v>
      </c>
      <c r="L115" t="s">
        <v>19</v>
      </c>
      <c r="M115">
        <v>8334</v>
      </c>
      <c r="P115" t="s">
        <v>158</v>
      </c>
    </row>
    <row r="116" spans="1:16" x14ac:dyDescent="0.35">
      <c r="A116" s="1">
        <v>46174</v>
      </c>
      <c r="B116" t="s">
        <v>267</v>
      </c>
      <c r="C116">
        <v>4138</v>
      </c>
      <c r="D116" t="s">
        <v>14</v>
      </c>
      <c r="E116" t="s">
        <v>15</v>
      </c>
      <c r="F116">
        <v>2503.69</v>
      </c>
      <c r="G116" t="s">
        <v>16</v>
      </c>
      <c r="H116" s="2">
        <v>46213</v>
      </c>
      <c r="I116" s="1">
        <v>46303</v>
      </c>
      <c r="J116">
        <v>87</v>
      </c>
      <c r="K116" t="s">
        <v>62</v>
      </c>
      <c r="L116" t="s">
        <v>19</v>
      </c>
      <c r="P116" t="s">
        <v>218</v>
      </c>
    </row>
    <row r="117" spans="1:16" x14ac:dyDescent="0.35">
      <c r="A117" s="1">
        <v>46174</v>
      </c>
      <c r="B117" t="s">
        <v>268</v>
      </c>
      <c r="C117">
        <v>1870</v>
      </c>
      <c r="D117" t="s">
        <v>21</v>
      </c>
      <c r="E117" t="s">
        <v>15</v>
      </c>
      <c r="F117">
        <v>1033.53</v>
      </c>
      <c r="G117" t="s">
        <v>16</v>
      </c>
      <c r="H117" s="2">
        <v>46213</v>
      </c>
      <c r="I117" s="1">
        <v>46303</v>
      </c>
      <c r="J117">
        <v>87</v>
      </c>
      <c r="K117" t="s">
        <v>62</v>
      </c>
      <c r="L117" t="s">
        <v>19</v>
      </c>
      <c r="P117" t="s">
        <v>32</v>
      </c>
    </row>
    <row r="118" spans="1:16" x14ac:dyDescent="0.35">
      <c r="A118" s="1">
        <v>46174</v>
      </c>
      <c r="B118" t="s">
        <v>269</v>
      </c>
      <c r="C118">
        <v>3688</v>
      </c>
      <c r="D118" t="s">
        <v>26</v>
      </c>
      <c r="E118" t="s">
        <v>15</v>
      </c>
      <c r="F118">
        <v>1334.58</v>
      </c>
      <c r="G118" t="s">
        <v>16</v>
      </c>
      <c r="H118" s="2">
        <v>46213</v>
      </c>
      <c r="I118" s="1">
        <v>46303</v>
      </c>
      <c r="J118">
        <v>87</v>
      </c>
      <c r="K118" t="s">
        <v>62</v>
      </c>
      <c r="L118" t="s">
        <v>28</v>
      </c>
      <c r="P118" t="s">
        <v>138</v>
      </c>
    </row>
    <row r="119" spans="1:16" x14ac:dyDescent="0.35">
      <c r="A119" s="1">
        <v>46174</v>
      </c>
      <c r="B119" t="s">
        <v>270</v>
      </c>
      <c r="C119">
        <v>467</v>
      </c>
      <c r="D119" t="s">
        <v>36</v>
      </c>
      <c r="E119" t="s">
        <v>15</v>
      </c>
      <c r="F119">
        <v>68.77</v>
      </c>
      <c r="G119" t="s">
        <v>37</v>
      </c>
      <c r="H119" s="2">
        <v>46213</v>
      </c>
      <c r="I119" s="1">
        <v>46303</v>
      </c>
      <c r="J119">
        <v>87</v>
      </c>
      <c r="K119" t="s">
        <v>33</v>
      </c>
      <c r="P119" t="s">
        <v>32</v>
      </c>
    </row>
    <row r="120" spans="1:16" x14ac:dyDescent="0.35">
      <c r="A120" s="1">
        <v>46174</v>
      </c>
      <c r="B120" t="s">
        <v>271</v>
      </c>
      <c r="C120">
        <v>35</v>
      </c>
      <c r="D120" t="s">
        <v>39</v>
      </c>
      <c r="E120" t="s">
        <v>15</v>
      </c>
      <c r="F120">
        <v>209.05</v>
      </c>
      <c r="G120" t="s">
        <v>37</v>
      </c>
      <c r="H120" s="2">
        <v>46213</v>
      </c>
      <c r="I120" s="1">
        <v>46303</v>
      </c>
      <c r="J120">
        <v>87</v>
      </c>
      <c r="K120" t="s">
        <v>33</v>
      </c>
      <c r="P120" t="s">
        <v>138</v>
      </c>
    </row>
    <row r="121" spans="1:16" x14ac:dyDescent="0.35">
      <c r="A121" s="1">
        <v>46174</v>
      </c>
      <c r="B121" t="s">
        <v>272</v>
      </c>
      <c r="C121">
        <v>372</v>
      </c>
      <c r="D121" t="s">
        <v>191</v>
      </c>
      <c r="E121" t="s">
        <v>15</v>
      </c>
      <c r="F121">
        <v>638.32000000000005</v>
      </c>
      <c r="G121" t="s">
        <v>37</v>
      </c>
      <c r="H121" s="2">
        <v>46213</v>
      </c>
      <c r="I121" s="1">
        <v>46303</v>
      </c>
      <c r="J121">
        <v>87</v>
      </c>
      <c r="K121" t="s">
        <v>24</v>
      </c>
      <c r="L121" t="s">
        <v>19</v>
      </c>
      <c r="P121" t="s">
        <v>273</v>
      </c>
    </row>
    <row r="122" spans="1:16" x14ac:dyDescent="0.35">
      <c r="A122" s="1">
        <v>46174</v>
      </c>
      <c r="B122" t="s">
        <v>274</v>
      </c>
      <c r="C122">
        <v>4486</v>
      </c>
      <c r="D122" t="s">
        <v>239</v>
      </c>
      <c r="E122" t="s">
        <v>15</v>
      </c>
      <c r="F122">
        <v>592.72</v>
      </c>
      <c r="G122" t="s">
        <v>70</v>
      </c>
      <c r="H122" s="2">
        <v>46213</v>
      </c>
      <c r="I122" s="1">
        <v>46303</v>
      </c>
      <c r="J122">
        <v>87</v>
      </c>
      <c r="K122" t="s">
        <v>62</v>
      </c>
      <c r="L122" t="s">
        <v>19</v>
      </c>
      <c r="P122" t="s">
        <v>32</v>
      </c>
    </row>
    <row r="123" spans="1:16" x14ac:dyDescent="0.35">
      <c r="A123" s="1">
        <v>46174</v>
      </c>
      <c r="B123" t="s">
        <v>275</v>
      </c>
      <c r="C123">
        <v>5635</v>
      </c>
      <c r="D123" t="s">
        <v>276</v>
      </c>
      <c r="E123" t="s">
        <v>15</v>
      </c>
      <c r="F123">
        <v>2995</v>
      </c>
      <c r="G123" t="s">
        <v>65</v>
      </c>
      <c r="H123" s="2">
        <v>46213</v>
      </c>
      <c r="I123" s="1">
        <v>46303</v>
      </c>
      <c r="J123">
        <v>87</v>
      </c>
      <c r="K123" t="s">
        <v>24</v>
      </c>
      <c r="L123" t="s">
        <v>19</v>
      </c>
      <c r="M123">
        <v>8384</v>
      </c>
      <c r="P123" t="s">
        <v>277</v>
      </c>
    </row>
    <row r="124" spans="1:16" x14ac:dyDescent="0.35">
      <c r="A124" s="1">
        <v>46174</v>
      </c>
      <c r="B124" t="s">
        <v>278</v>
      </c>
      <c r="C124">
        <v>1602</v>
      </c>
      <c r="D124" t="s">
        <v>59</v>
      </c>
      <c r="E124" t="s">
        <v>15</v>
      </c>
      <c r="F124">
        <v>38560.57</v>
      </c>
      <c r="G124" t="s">
        <v>60</v>
      </c>
      <c r="H124" s="2">
        <v>46213</v>
      </c>
      <c r="I124" s="1">
        <v>46303</v>
      </c>
      <c r="J124">
        <v>87</v>
      </c>
      <c r="K124" t="s">
        <v>62</v>
      </c>
      <c r="L124" t="s">
        <v>28</v>
      </c>
      <c r="P124" t="s">
        <v>61</v>
      </c>
    </row>
    <row r="125" spans="1:16" x14ac:dyDescent="0.35">
      <c r="A125" s="1">
        <v>46174</v>
      </c>
      <c r="B125" t="s">
        <v>279</v>
      </c>
      <c r="C125">
        <v>405</v>
      </c>
      <c r="D125" t="s">
        <v>69</v>
      </c>
      <c r="E125" t="s">
        <v>15</v>
      </c>
      <c r="F125">
        <v>119.7</v>
      </c>
      <c r="G125" t="s">
        <v>70</v>
      </c>
      <c r="H125" s="2">
        <v>46213</v>
      </c>
      <c r="I125" s="1">
        <v>46303</v>
      </c>
      <c r="J125">
        <v>87</v>
      </c>
      <c r="K125" t="s">
        <v>18</v>
      </c>
      <c r="L125" t="s">
        <v>280</v>
      </c>
      <c r="M125">
        <v>8378</v>
      </c>
      <c r="P125" t="s">
        <v>280</v>
      </c>
    </row>
    <row r="126" spans="1:16" x14ac:dyDescent="0.35">
      <c r="A126" s="1">
        <v>46174</v>
      </c>
      <c r="B126" t="s">
        <v>281</v>
      </c>
      <c r="C126">
        <v>3954</v>
      </c>
      <c r="D126" t="s">
        <v>73</v>
      </c>
      <c r="E126" t="s">
        <v>15</v>
      </c>
      <c r="F126">
        <v>1.36</v>
      </c>
      <c r="G126" t="s">
        <v>43</v>
      </c>
      <c r="H126" s="2">
        <v>46213</v>
      </c>
      <c r="I126" s="1">
        <v>46303</v>
      </c>
      <c r="J126">
        <v>87</v>
      </c>
      <c r="K126" t="s">
        <v>33</v>
      </c>
      <c r="P126" t="s">
        <v>32</v>
      </c>
    </row>
    <row r="127" spans="1:16" x14ac:dyDescent="0.35">
      <c r="A127" s="1">
        <v>46174</v>
      </c>
      <c r="B127" t="s">
        <v>282</v>
      </c>
      <c r="C127">
        <v>2622</v>
      </c>
      <c r="D127" t="s">
        <v>173</v>
      </c>
      <c r="E127" t="s">
        <v>15</v>
      </c>
      <c r="F127">
        <v>21834.52</v>
      </c>
      <c r="G127" t="s">
        <v>65</v>
      </c>
      <c r="H127" s="2">
        <v>46213</v>
      </c>
      <c r="I127" s="1">
        <v>46303</v>
      </c>
      <c r="J127">
        <v>87</v>
      </c>
      <c r="K127" t="s">
        <v>24</v>
      </c>
      <c r="L127" t="s">
        <v>19</v>
      </c>
      <c r="P127" t="s">
        <v>283</v>
      </c>
    </row>
    <row r="128" spans="1:16" x14ac:dyDescent="0.35">
      <c r="A128" s="1">
        <v>46174</v>
      </c>
      <c r="B128" t="s">
        <v>284</v>
      </c>
      <c r="C128">
        <v>5790</v>
      </c>
      <c r="D128" t="s">
        <v>83</v>
      </c>
      <c r="E128" t="s">
        <v>22</v>
      </c>
      <c r="F128">
        <v>2532</v>
      </c>
      <c r="G128" t="s">
        <v>43</v>
      </c>
      <c r="H128" s="2">
        <v>46213</v>
      </c>
      <c r="I128" s="1">
        <v>46303</v>
      </c>
      <c r="J128">
        <v>87</v>
      </c>
      <c r="K128" t="s">
        <v>62</v>
      </c>
      <c r="L128" t="s">
        <v>19</v>
      </c>
      <c r="P128" t="s">
        <v>32</v>
      </c>
    </row>
    <row r="129" spans="1:16" x14ac:dyDescent="0.35">
      <c r="A129" s="1">
        <v>46174</v>
      </c>
      <c r="B129" t="s">
        <v>285</v>
      </c>
      <c r="C129">
        <v>3684</v>
      </c>
      <c r="D129" t="s">
        <v>203</v>
      </c>
      <c r="E129" t="s">
        <v>15</v>
      </c>
      <c r="F129">
        <v>6373.29</v>
      </c>
      <c r="G129" t="s">
        <v>16</v>
      </c>
      <c r="H129" s="2">
        <v>46213</v>
      </c>
      <c r="I129" s="1">
        <v>46303</v>
      </c>
      <c r="J129">
        <v>87</v>
      </c>
      <c r="K129" t="s">
        <v>62</v>
      </c>
      <c r="L129" t="s">
        <v>28</v>
      </c>
      <c r="P129" t="s">
        <v>138</v>
      </c>
    </row>
    <row r="130" spans="1:16" x14ac:dyDescent="0.35">
      <c r="A130" s="1">
        <v>46174</v>
      </c>
      <c r="B130" t="s">
        <v>286</v>
      </c>
      <c r="C130">
        <v>4281</v>
      </c>
      <c r="D130" t="s">
        <v>90</v>
      </c>
      <c r="E130" t="s">
        <v>15</v>
      </c>
      <c r="F130">
        <v>1346.32</v>
      </c>
      <c r="G130" t="s">
        <v>70</v>
      </c>
      <c r="H130" s="2">
        <v>46213</v>
      </c>
      <c r="I130" s="1">
        <v>46303</v>
      </c>
      <c r="J130">
        <v>87</v>
      </c>
      <c r="K130" t="s">
        <v>24</v>
      </c>
      <c r="L130" t="s">
        <v>19</v>
      </c>
      <c r="M130">
        <v>8374</v>
      </c>
      <c r="P130" t="s">
        <v>287</v>
      </c>
    </row>
    <row r="131" spans="1:16" x14ac:dyDescent="0.35">
      <c r="A131" s="1">
        <v>46174</v>
      </c>
      <c r="B131" t="s">
        <v>288</v>
      </c>
      <c r="C131">
        <v>2762</v>
      </c>
      <c r="D131" t="s">
        <v>93</v>
      </c>
      <c r="E131" t="s">
        <v>15</v>
      </c>
      <c r="F131">
        <v>11325.83</v>
      </c>
      <c r="G131" t="s">
        <v>16</v>
      </c>
      <c r="H131" s="2">
        <v>46213</v>
      </c>
      <c r="I131" s="1">
        <v>46303</v>
      </c>
      <c r="J131">
        <v>87</v>
      </c>
      <c r="K131" t="s">
        <v>62</v>
      </c>
      <c r="L131" t="s">
        <v>28</v>
      </c>
      <c r="P131" t="s">
        <v>138</v>
      </c>
    </row>
    <row r="132" spans="1:16" x14ac:dyDescent="0.35">
      <c r="A132" s="1">
        <v>46174</v>
      </c>
      <c r="B132" t="s">
        <v>289</v>
      </c>
      <c r="C132">
        <v>166</v>
      </c>
      <c r="D132" t="s">
        <v>99</v>
      </c>
      <c r="E132" t="s">
        <v>15</v>
      </c>
      <c r="F132">
        <v>3752.4</v>
      </c>
      <c r="G132" t="s">
        <v>37</v>
      </c>
      <c r="H132" s="2">
        <v>46213</v>
      </c>
      <c r="I132" s="1">
        <v>46303</v>
      </c>
      <c r="J132">
        <v>87</v>
      </c>
      <c r="K132" t="s">
        <v>18</v>
      </c>
      <c r="L132" t="s">
        <v>19</v>
      </c>
      <c r="M132">
        <v>8383</v>
      </c>
      <c r="P132" t="s">
        <v>249</v>
      </c>
    </row>
    <row r="133" spans="1:16" x14ac:dyDescent="0.35">
      <c r="A133" s="1">
        <v>46174</v>
      </c>
      <c r="B133" t="s">
        <v>290</v>
      </c>
      <c r="C133">
        <v>2434</v>
      </c>
      <c r="D133" t="s">
        <v>108</v>
      </c>
      <c r="E133" t="s">
        <v>15</v>
      </c>
      <c r="F133">
        <v>2341.66</v>
      </c>
      <c r="G133" t="s">
        <v>81</v>
      </c>
      <c r="H133" s="2">
        <v>46213</v>
      </c>
      <c r="I133" s="1">
        <v>46303</v>
      </c>
      <c r="J133">
        <v>87</v>
      </c>
      <c r="K133" t="s">
        <v>62</v>
      </c>
      <c r="L133" t="s">
        <v>19</v>
      </c>
      <c r="P133" t="s">
        <v>32</v>
      </c>
    </row>
    <row r="134" spans="1:16" x14ac:dyDescent="0.35">
      <c r="A134" s="1">
        <v>46174</v>
      </c>
      <c r="B134" t="s">
        <v>291</v>
      </c>
      <c r="C134">
        <v>4092</v>
      </c>
      <c r="D134" t="s">
        <v>119</v>
      </c>
      <c r="E134" t="s">
        <v>15</v>
      </c>
      <c r="F134">
        <v>348</v>
      </c>
      <c r="G134" t="s">
        <v>43</v>
      </c>
      <c r="H134" s="2">
        <v>46213</v>
      </c>
      <c r="I134" s="1">
        <v>46303</v>
      </c>
      <c r="J134">
        <v>87</v>
      </c>
      <c r="K134" t="s">
        <v>62</v>
      </c>
      <c r="L134" t="s">
        <v>19</v>
      </c>
      <c r="P134" t="s">
        <v>32</v>
      </c>
    </row>
    <row r="135" spans="1:16" x14ac:dyDescent="0.35">
      <c r="A135" s="1">
        <v>46174</v>
      </c>
      <c r="B135" t="s">
        <v>292</v>
      </c>
      <c r="C135">
        <v>3825</v>
      </c>
      <c r="D135" t="s">
        <v>121</v>
      </c>
      <c r="E135" t="s">
        <v>15</v>
      </c>
      <c r="F135">
        <v>391.45</v>
      </c>
      <c r="G135" t="s">
        <v>70</v>
      </c>
      <c r="H135" s="2">
        <v>46213</v>
      </c>
      <c r="I135" s="1">
        <v>46303</v>
      </c>
      <c r="J135">
        <v>87</v>
      </c>
      <c r="K135" t="s">
        <v>62</v>
      </c>
      <c r="L135" t="s">
        <v>19</v>
      </c>
      <c r="P135" t="s">
        <v>32</v>
      </c>
    </row>
    <row r="136" spans="1:16" x14ac:dyDescent="0.35">
      <c r="A136" s="1">
        <v>46174</v>
      </c>
      <c r="B136" t="s">
        <v>293</v>
      </c>
      <c r="C136">
        <v>6023</v>
      </c>
      <c r="D136" t="s">
        <v>124</v>
      </c>
      <c r="E136" t="s">
        <v>15</v>
      </c>
      <c r="F136">
        <v>96</v>
      </c>
      <c r="G136" t="s">
        <v>16</v>
      </c>
      <c r="H136" s="2">
        <v>46213</v>
      </c>
      <c r="I136" s="1">
        <v>46303</v>
      </c>
      <c r="J136">
        <v>87</v>
      </c>
      <c r="K136" t="s">
        <v>33</v>
      </c>
      <c r="L136" t="s">
        <v>19</v>
      </c>
      <c r="P136" t="s">
        <v>32</v>
      </c>
    </row>
    <row r="137" spans="1:16" x14ac:dyDescent="0.35">
      <c r="A137" s="1">
        <v>46174</v>
      </c>
      <c r="B137" t="s">
        <v>294</v>
      </c>
      <c r="C137">
        <v>2728</v>
      </c>
      <c r="D137" t="s">
        <v>127</v>
      </c>
      <c r="E137" t="s">
        <v>15</v>
      </c>
      <c r="F137">
        <v>64.540000000000006</v>
      </c>
      <c r="G137" t="s">
        <v>70</v>
      </c>
      <c r="H137" s="2">
        <v>46213</v>
      </c>
      <c r="I137" s="1">
        <v>46303</v>
      </c>
      <c r="J137">
        <v>87</v>
      </c>
      <c r="K137" t="s">
        <v>33</v>
      </c>
      <c r="P137" t="s">
        <v>32</v>
      </c>
    </row>
    <row r="138" spans="1:16" x14ac:dyDescent="0.35">
      <c r="A138" s="1">
        <v>46174</v>
      </c>
      <c r="B138" t="s">
        <v>295</v>
      </c>
      <c r="C138">
        <v>5099</v>
      </c>
      <c r="D138" t="s">
        <v>296</v>
      </c>
      <c r="E138" t="s">
        <v>15</v>
      </c>
      <c r="F138">
        <v>32</v>
      </c>
      <c r="G138" t="s">
        <v>60</v>
      </c>
      <c r="H138" s="2">
        <v>46213</v>
      </c>
      <c r="I138" s="1">
        <v>46303</v>
      </c>
      <c r="J138">
        <v>87</v>
      </c>
      <c r="K138" t="s">
        <v>33</v>
      </c>
      <c r="P138" t="s">
        <v>32</v>
      </c>
    </row>
    <row r="139" spans="1:16" x14ac:dyDescent="0.35">
      <c r="A139" s="1">
        <v>46174</v>
      </c>
      <c r="B139" t="s">
        <v>297</v>
      </c>
      <c r="C139">
        <v>5512</v>
      </c>
      <c r="D139" t="s">
        <v>298</v>
      </c>
      <c r="E139" t="s">
        <v>15</v>
      </c>
      <c r="F139">
        <v>7228.8</v>
      </c>
      <c r="G139" t="s">
        <v>65</v>
      </c>
      <c r="H139" s="2">
        <v>46213</v>
      </c>
      <c r="I139" s="1">
        <v>46303</v>
      </c>
      <c r="J139">
        <v>87</v>
      </c>
      <c r="K139" t="s">
        <v>62</v>
      </c>
      <c r="L139" t="s">
        <v>28</v>
      </c>
      <c r="P139" t="s">
        <v>138</v>
      </c>
    </row>
    <row r="140" spans="1:16" x14ac:dyDescent="0.35">
      <c r="A140" s="1">
        <v>46174</v>
      </c>
      <c r="B140" t="s">
        <v>299</v>
      </c>
      <c r="C140">
        <v>1692</v>
      </c>
      <c r="D140" t="s">
        <v>146</v>
      </c>
      <c r="E140" t="s">
        <v>15</v>
      </c>
      <c r="F140">
        <v>222.82</v>
      </c>
      <c r="G140" t="s">
        <v>65</v>
      </c>
      <c r="H140" s="2">
        <v>46213</v>
      </c>
      <c r="I140" s="1">
        <v>46303</v>
      </c>
      <c r="J140">
        <v>87</v>
      </c>
      <c r="K140" t="s">
        <v>33</v>
      </c>
      <c r="P140" t="s">
        <v>32</v>
      </c>
    </row>
    <row r="141" spans="1:16" x14ac:dyDescent="0.35">
      <c r="A141" s="1">
        <v>46174</v>
      </c>
      <c r="B141" t="s">
        <v>300</v>
      </c>
      <c r="C141">
        <v>1688</v>
      </c>
      <c r="D141" t="s">
        <v>226</v>
      </c>
      <c r="E141" t="s">
        <v>15</v>
      </c>
      <c r="F141">
        <v>328.93</v>
      </c>
      <c r="G141" t="s">
        <v>31</v>
      </c>
      <c r="H141" s="2">
        <v>46213</v>
      </c>
      <c r="I141" s="1">
        <v>46303</v>
      </c>
      <c r="J141">
        <v>87</v>
      </c>
      <c r="K141" t="s">
        <v>62</v>
      </c>
      <c r="L141" t="s">
        <v>19</v>
      </c>
      <c r="P141" t="s">
        <v>32</v>
      </c>
    </row>
    <row r="142" spans="1:16" x14ac:dyDescent="0.35">
      <c r="A142" s="1">
        <v>46174</v>
      </c>
      <c r="B142" t="s">
        <v>301</v>
      </c>
      <c r="C142">
        <v>121</v>
      </c>
      <c r="D142" t="s">
        <v>154</v>
      </c>
      <c r="E142" t="s">
        <v>15</v>
      </c>
      <c r="F142">
        <v>727.2</v>
      </c>
      <c r="G142" t="s">
        <v>16</v>
      </c>
      <c r="H142" s="2">
        <v>46213</v>
      </c>
      <c r="I142" s="1">
        <v>46303</v>
      </c>
      <c r="J142">
        <v>87</v>
      </c>
      <c r="K142" t="s">
        <v>18</v>
      </c>
      <c r="L142" t="s">
        <v>19</v>
      </c>
      <c r="M142">
        <v>8378</v>
      </c>
      <c r="P142" t="s">
        <v>302</v>
      </c>
    </row>
    <row r="143" spans="1:16" x14ac:dyDescent="0.35">
      <c r="A143" s="1">
        <v>46174</v>
      </c>
      <c r="B143" t="s">
        <v>303</v>
      </c>
      <c r="C143">
        <v>261</v>
      </c>
      <c r="D143" t="s">
        <v>304</v>
      </c>
      <c r="E143" t="s">
        <v>15</v>
      </c>
      <c r="F143">
        <v>3299.01</v>
      </c>
      <c r="G143" t="s">
        <v>37</v>
      </c>
      <c r="H143" s="2">
        <v>46213</v>
      </c>
      <c r="I143" s="1">
        <v>46303</v>
      </c>
      <c r="J143">
        <v>87</v>
      </c>
      <c r="K143" t="s">
        <v>62</v>
      </c>
      <c r="L143" t="s">
        <v>19</v>
      </c>
      <c r="P143" t="s">
        <v>32</v>
      </c>
    </row>
    <row r="144" spans="1:16" x14ac:dyDescent="0.35">
      <c r="A144" s="1">
        <v>46174</v>
      </c>
      <c r="B144" t="s">
        <v>305</v>
      </c>
      <c r="C144">
        <v>190</v>
      </c>
      <c r="D144" t="s">
        <v>110</v>
      </c>
      <c r="E144" t="s">
        <v>15</v>
      </c>
      <c r="F144">
        <v>1577.8</v>
      </c>
      <c r="G144" t="s">
        <v>70</v>
      </c>
      <c r="H144" s="2">
        <v>46213</v>
      </c>
      <c r="I144" s="1">
        <v>46303</v>
      </c>
      <c r="J144">
        <v>87</v>
      </c>
      <c r="K144" t="s">
        <v>18</v>
      </c>
      <c r="L144" t="s">
        <v>19</v>
      </c>
      <c r="M144">
        <v>8359</v>
      </c>
      <c r="P144" t="s">
        <v>306</v>
      </c>
    </row>
    <row r="145" spans="1:16" x14ac:dyDescent="0.35">
      <c r="A145" s="1">
        <v>46174</v>
      </c>
      <c r="B145" t="s">
        <v>307</v>
      </c>
      <c r="C145">
        <v>255</v>
      </c>
      <c r="D145" t="s">
        <v>157</v>
      </c>
      <c r="E145" t="s">
        <v>15</v>
      </c>
      <c r="F145">
        <v>843.91</v>
      </c>
      <c r="G145" t="s">
        <v>43</v>
      </c>
      <c r="H145" s="2">
        <v>46213</v>
      </c>
      <c r="I145" s="1">
        <v>46303</v>
      </c>
      <c r="J145">
        <v>87</v>
      </c>
      <c r="K145" t="s">
        <v>62</v>
      </c>
      <c r="L145" t="s">
        <v>19</v>
      </c>
      <c r="P145" t="s">
        <v>32</v>
      </c>
    </row>
    <row r="146" spans="1:16" x14ac:dyDescent="0.35">
      <c r="A146" s="1">
        <v>46204</v>
      </c>
      <c r="B146" t="s">
        <v>308</v>
      </c>
      <c r="C146">
        <v>4138</v>
      </c>
      <c r="D146" t="s">
        <v>14</v>
      </c>
      <c r="E146" t="s">
        <v>15</v>
      </c>
      <c r="F146">
        <v>2588.0100000000002</v>
      </c>
      <c r="G146" t="s">
        <v>16</v>
      </c>
      <c r="H146" s="2">
        <v>46252</v>
      </c>
      <c r="I146" s="1">
        <v>46342</v>
      </c>
      <c r="K146" t="s">
        <v>24</v>
      </c>
      <c r="L146" t="s">
        <v>19</v>
      </c>
      <c r="P146" t="s">
        <v>309</v>
      </c>
    </row>
    <row r="147" spans="1:16" x14ac:dyDescent="0.35">
      <c r="A147" s="1">
        <v>46204</v>
      </c>
      <c r="B147" t="s">
        <v>311</v>
      </c>
      <c r="C147">
        <v>6023</v>
      </c>
      <c r="D147" t="s">
        <v>124</v>
      </c>
      <c r="E147" t="s">
        <v>22</v>
      </c>
      <c r="F147">
        <v>661.34</v>
      </c>
      <c r="G147" t="s">
        <v>16</v>
      </c>
      <c r="H147" s="2">
        <v>46252</v>
      </c>
      <c r="I147" s="1">
        <v>46342</v>
      </c>
      <c r="K147" t="s">
        <v>62</v>
      </c>
      <c r="L147" t="s">
        <v>28</v>
      </c>
      <c r="P147" t="s">
        <v>312</v>
      </c>
    </row>
    <row r="148" spans="1:16" x14ac:dyDescent="0.35">
      <c r="A148" s="1">
        <v>46204</v>
      </c>
      <c r="B148" t="s">
        <v>313</v>
      </c>
      <c r="C148">
        <v>1870</v>
      </c>
      <c r="D148" t="s">
        <v>21</v>
      </c>
      <c r="E148" t="s">
        <v>22</v>
      </c>
      <c r="F148">
        <v>5955</v>
      </c>
      <c r="G148" t="s">
        <v>16</v>
      </c>
      <c r="H148" s="2">
        <v>46252</v>
      </c>
      <c r="I148" s="1">
        <v>46342</v>
      </c>
      <c r="K148" t="s">
        <v>142</v>
      </c>
      <c r="L148" t="s">
        <v>19</v>
      </c>
      <c r="P148" t="s">
        <v>314</v>
      </c>
    </row>
    <row r="149" spans="1:16" x14ac:dyDescent="0.35">
      <c r="A149" s="1">
        <v>46204</v>
      </c>
      <c r="B149" t="s">
        <v>315</v>
      </c>
      <c r="C149">
        <v>164</v>
      </c>
      <c r="D149" t="s">
        <v>148</v>
      </c>
      <c r="E149" t="s">
        <v>22</v>
      </c>
      <c r="F149">
        <v>5298.75</v>
      </c>
      <c r="G149" t="s">
        <v>31</v>
      </c>
      <c r="H149" s="2">
        <v>46252</v>
      </c>
      <c r="I149" s="1">
        <v>46342</v>
      </c>
      <c r="K149" t="s">
        <v>34</v>
      </c>
    </row>
    <row r="150" spans="1:16" x14ac:dyDescent="0.35">
      <c r="A150" s="1">
        <v>46204</v>
      </c>
      <c r="B150" t="s">
        <v>316</v>
      </c>
      <c r="C150">
        <v>4281</v>
      </c>
      <c r="D150" t="s">
        <v>90</v>
      </c>
      <c r="E150" t="s">
        <v>15</v>
      </c>
      <c r="F150">
        <v>524.26</v>
      </c>
      <c r="G150" t="s">
        <v>70</v>
      </c>
      <c r="H150" s="2">
        <v>46252</v>
      </c>
      <c r="I150" s="1">
        <v>46342</v>
      </c>
      <c r="K150" t="s">
        <v>34</v>
      </c>
    </row>
    <row r="151" spans="1:16" x14ac:dyDescent="0.35">
      <c r="A151" s="1">
        <v>46204</v>
      </c>
      <c r="B151" t="s">
        <v>317</v>
      </c>
      <c r="C151">
        <v>4647</v>
      </c>
      <c r="D151" t="s">
        <v>46</v>
      </c>
      <c r="E151" t="s">
        <v>15</v>
      </c>
      <c r="F151">
        <v>2264.34</v>
      </c>
      <c r="G151" t="s">
        <v>43</v>
      </c>
      <c r="H151" s="2">
        <v>46252</v>
      </c>
      <c r="I151" s="1">
        <v>46342</v>
      </c>
      <c r="K151" t="s">
        <v>34</v>
      </c>
    </row>
    <row r="152" spans="1:16" x14ac:dyDescent="0.35">
      <c r="A152" s="1">
        <v>46204</v>
      </c>
      <c r="B152" t="s">
        <v>318</v>
      </c>
      <c r="C152">
        <v>5635</v>
      </c>
      <c r="D152" t="s">
        <v>276</v>
      </c>
      <c r="E152" t="s">
        <v>15</v>
      </c>
      <c r="F152">
        <v>950</v>
      </c>
      <c r="G152" t="s">
        <v>65</v>
      </c>
      <c r="H152" s="2">
        <v>46252</v>
      </c>
      <c r="I152" s="1">
        <v>46342</v>
      </c>
      <c r="K152" t="s">
        <v>34</v>
      </c>
    </row>
    <row r="153" spans="1:16" x14ac:dyDescent="0.35">
      <c r="A153" s="1">
        <v>46204</v>
      </c>
      <c r="B153" t="s">
        <v>319</v>
      </c>
      <c r="C153">
        <v>163</v>
      </c>
      <c r="D153" t="s">
        <v>96</v>
      </c>
      <c r="E153" t="s">
        <v>15</v>
      </c>
      <c r="F153">
        <v>6609.21</v>
      </c>
      <c r="G153" t="s">
        <v>43</v>
      </c>
      <c r="H153" s="2">
        <v>46252</v>
      </c>
      <c r="I153" s="1">
        <v>46342</v>
      </c>
      <c r="K153" t="s">
        <v>34</v>
      </c>
    </row>
    <row r="154" spans="1:16" x14ac:dyDescent="0.35">
      <c r="A154" s="1">
        <v>46204</v>
      </c>
      <c r="B154" t="s">
        <v>320</v>
      </c>
      <c r="C154">
        <v>35</v>
      </c>
      <c r="D154" t="s">
        <v>39</v>
      </c>
      <c r="E154" t="s">
        <v>15</v>
      </c>
      <c r="F154">
        <v>375.86</v>
      </c>
      <c r="G154" t="s">
        <v>70</v>
      </c>
      <c r="H154" s="2">
        <v>46252</v>
      </c>
      <c r="I154" s="1">
        <v>46342</v>
      </c>
      <c r="K154" t="s">
        <v>34</v>
      </c>
    </row>
    <row r="155" spans="1:16" x14ac:dyDescent="0.35">
      <c r="A155" s="1">
        <v>46204</v>
      </c>
      <c r="B155" t="s">
        <v>321</v>
      </c>
      <c r="C155">
        <v>166</v>
      </c>
      <c r="D155" t="s">
        <v>99</v>
      </c>
      <c r="E155" t="s">
        <v>15</v>
      </c>
      <c r="F155">
        <v>3181.57</v>
      </c>
      <c r="G155" t="s">
        <v>37</v>
      </c>
      <c r="H155" s="2">
        <v>46252</v>
      </c>
      <c r="I155" s="1">
        <v>46342</v>
      </c>
      <c r="K155" t="s">
        <v>34</v>
      </c>
    </row>
    <row r="156" spans="1:16" x14ac:dyDescent="0.35">
      <c r="A156" s="1">
        <v>46204</v>
      </c>
      <c r="B156" t="s">
        <v>322</v>
      </c>
      <c r="C156">
        <v>255</v>
      </c>
      <c r="D156" t="s">
        <v>157</v>
      </c>
      <c r="E156" t="s">
        <v>22</v>
      </c>
      <c r="F156">
        <v>720.79</v>
      </c>
      <c r="G156" t="s">
        <v>43</v>
      </c>
      <c r="H156" s="2">
        <v>46252</v>
      </c>
      <c r="I156" s="1">
        <v>46342</v>
      </c>
      <c r="K156" t="s">
        <v>34</v>
      </c>
    </row>
    <row r="157" spans="1:16" x14ac:dyDescent="0.35">
      <c r="A157" s="1">
        <v>46204</v>
      </c>
      <c r="B157" t="s">
        <v>323</v>
      </c>
      <c r="C157">
        <v>2404</v>
      </c>
      <c r="D157" t="s">
        <v>194</v>
      </c>
      <c r="E157" t="s">
        <v>15</v>
      </c>
      <c r="F157">
        <v>212</v>
      </c>
      <c r="G157" t="s">
        <v>37</v>
      </c>
      <c r="H157" s="2">
        <v>46252</v>
      </c>
      <c r="I157" s="1">
        <v>46342</v>
      </c>
      <c r="K157" t="s">
        <v>33</v>
      </c>
    </row>
    <row r="158" spans="1:16" x14ac:dyDescent="0.35">
      <c r="A158" s="1">
        <v>46204</v>
      </c>
      <c r="B158" t="s">
        <v>324</v>
      </c>
      <c r="C158">
        <v>276</v>
      </c>
      <c r="D158" t="s">
        <v>67</v>
      </c>
      <c r="E158" t="s">
        <v>22</v>
      </c>
      <c r="F158">
        <v>802.39</v>
      </c>
      <c r="G158" t="s">
        <v>43</v>
      </c>
      <c r="H158" s="2">
        <v>46252</v>
      </c>
      <c r="I158" s="1">
        <v>46342</v>
      </c>
      <c r="K158" t="s">
        <v>34</v>
      </c>
    </row>
    <row r="159" spans="1:16" x14ac:dyDescent="0.35">
      <c r="A159" s="1">
        <v>46204</v>
      </c>
      <c r="B159" t="s">
        <v>325</v>
      </c>
      <c r="C159">
        <v>2857</v>
      </c>
      <c r="D159" t="s">
        <v>56</v>
      </c>
      <c r="E159" t="s">
        <v>22</v>
      </c>
      <c r="F159">
        <v>1405.24</v>
      </c>
      <c r="G159" t="s">
        <v>37</v>
      </c>
      <c r="H159" s="2">
        <v>46252</v>
      </c>
      <c r="I159" s="1">
        <v>46342</v>
      </c>
      <c r="K159" t="s">
        <v>34</v>
      </c>
    </row>
    <row r="160" spans="1:16" x14ac:dyDescent="0.35">
      <c r="A160" s="1">
        <v>46204</v>
      </c>
      <c r="B160" t="s">
        <v>326</v>
      </c>
      <c r="C160">
        <v>1144</v>
      </c>
      <c r="D160" t="s">
        <v>199</v>
      </c>
      <c r="E160" t="s">
        <v>22</v>
      </c>
      <c r="F160">
        <v>553.44000000000005</v>
      </c>
      <c r="G160" t="s">
        <v>43</v>
      </c>
      <c r="H160" s="2">
        <v>46252</v>
      </c>
      <c r="I160" s="1">
        <v>46342</v>
      </c>
      <c r="K160" t="s">
        <v>34</v>
      </c>
    </row>
    <row r="161" spans="1:16" x14ac:dyDescent="0.35">
      <c r="A161" s="1">
        <v>46204</v>
      </c>
      <c r="B161" t="s">
        <v>327</v>
      </c>
      <c r="C161">
        <v>2728</v>
      </c>
      <c r="D161" t="s">
        <v>127</v>
      </c>
      <c r="E161" t="s">
        <v>15</v>
      </c>
      <c r="F161">
        <v>258.16000000000003</v>
      </c>
      <c r="G161" t="s">
        <v>37</v>
      </c>
      <c r="H161" s="2">
        <v>46252</v>
      </c>
      <c r="I161" s="1">
        <v>46342</v>
      </c>
      <c r="K161" t="s">
        <v>33</v>
      </c>
    </row>
    <row r="162" spans="1:16" x14ac:dyDescent="0.35">
      <c r="A162" s="1">
        <v>46204</v>
      </c>
      <c r="B162" t="s">
        <v>328</v>
      </c>
      <c r="C162">
        <v>4486</v>
      </c>
      <c r="D162" t="s">
        <v>239</v>
      </c>
      <c r="E162" t="s">
        <v>15</v>
      </c>
      <c r="F162">
        <v>16310.06</v>
      </c>
      <c r="G162" t="s">
        <v>106</v>
      </c>
      <c r="H162" s="2">
        <v>46252</v>
      </c>
      <c r="I162" s="1">
        <v>46342</v>
      </c>
      <c r="K162" t="s">
        <v>34</v>
      </c>
    </row>
    <row r="163" spans="1:16" x14ac:dyDescent="0.35">
      <c r="A163" s="1">
        <v>46204</v>
      </c>
      <c r="B163" t="s">
        <v>329</v>
      </c>
      <c r="C163">
        <v>121</v>
      </c>
      <c r="D163" t="s">
        <v>154</v>
      </c>
      <c r="E163" t="s">
        <v>15</v>
      </c>
      <c r="F163">
        <v>1129.17</v>
      </c>
      <c r="G163" t="s">
        <v>16</v>
      </c>
      <c r="H163" s="2">
        <v>46252</v>
      </c>
      <c r="I163" s="1">
        <v>46342</v>
      </c>
      <c r="K163" t="s">
        <v>24</v>
      </c>
      <c r="L163" t="s">
        <v>19</v>
      </c>
      <c r="P163" t="s">
        <v>330</v>
      </c>
    </row>
    <row r="164" spans="1:16" x14ac:dyDescent="0.35">
      <c r="A164" s="1">
        <v>46204</v>
      </c>
      <c r="B164" t="s">
        <v>331</v>
      </c>
      <c r="C164">
        <v>4641</v>
      </c>
      <c r="D164" t="s">
        <v>332</v>
      </c>
      <c r="E164" t="s">
        <v>15</v>
      </c>
      <c r="F164">
        <v>445.13</v>
      </c>
      <c r="G164" t="s">
        <v>70</v>
      </c>
      <c r="H164" s="2">
        <v>46252</v>
      </c>
      <c r="I164" s="1">
        <v>46342</v>
      </c>
      <c r="K164" t="s">
        <v>34</v>
      </c>
    </row>
    <row r="165" spans="1:16" x14ac:dyDescent="0.35">
      <c r="A165" s="1">
        <v>46204</v>
      </c>
      <c r="B165" t="s">
        <v>333</v>
      </c>
      <c r="C165">
        <v>1948</v>
      </c>
      <c r="D165" t="s">
        <v>102</v>
      </c>
      <c r="E165" t="s">
        <v>15</v>
      </c>
      <c r="F165">
        <v>2189.7800000000002</v>
      </c>
      <c r="G165" t="s">
        <v>70</v>
      </c>
      <c r="H165" s="2">
        <v>46252</v>
      </c>
      <c r="I165" s="1">
        <v>46342</v>
      </c>
      <c r="K165" t="s">
        <v>34</v>
      </c>
    </row>
    <row r="166" spans="1:16" x14ac:dyDescent="0.35">
      <c r="A166" s="1">
        <v>46204</v>
      </c>
      <c r="B166" t="s">
        <v>334</v>
      </c>
      <c r="C166">
        <v>230</v>
      </c>
      <c r="D166" t="s">
        <v>261</v>
      </c>
      <c r="E166" t="s">
        <v>15</v>
      </c>
      <c r="F166">
        <v>264.25</v>
      </c>
      <c r="G166" t="s">
        <v>65</v>
      </c>
      <c r="H166" s="2">
        <v>46252</v>
      </c>
      <c r="I166" s="1">
        <v>46342</v>
      </c>
      <c r="K166" t="s">
        <v>33</v>
      </c>
    </row>
    <row r="167" spans="1:16" x14ac:dyDescent="0.35">
      <c r="A167" s="1">
        <v>46204</v>
      </c>
      <c r="B167" t="s">
        <v>335</v>
      </c>
      <c r="C167">
        <v>20</v>
      </c>
      <c r="D167" t="s">
        <v>336</v>
      </c>
      <c r="E167" t="s">
        <v>15</v>
      </c>
      <c r="F167">
        <v>1369.76</v>
      </c>
      <c r="G167" t="s">
        <v>31</v>
      </c>
      <c r="H167" s="2">
        <v>46252</v>
      </c>
      <c r="I167" s="1">
        <v>46342</v>
      </c>
      <c r="K167" t="s">
        <v>34</v>
      </c>
    </row>
    <row r="168" spans="1:16" x14ac:dyDescent="0.35">
      <c r="A168" s="1">
        <v>46204</v>
      </c>
      <c r="B168" t="s">
        <v>337</v>
      </c>
      <c r="C168">
        <v>3954</v>
      </c>
      <c r="D168" t="s">
        <v>73</v>
      </c>
      <c r="E168" t="s">
        <v>15</v>
      </c>
      <c r="F168">
        <v>45.77</v>
      </c>
      <c r="G168" t="s">
        <v>43</v>
      </c>
      <c r="H168" s="2">
        <v>46252</v>
      </c>
      <c r="I168" s="1">
        <v>46342</v>
      </c>
      <c r="K168" t="s">
        <v>33</v>
      </c>
    </row>
    <row r="169" spans="1:16" x14ac:dyDescent="0.35">
      <c r="A169" s="1">
        <v>46204</v>
      </c>
      <c r="B169" t="s">
        <v>338</v>
      </c>
      <c r="C169">
        <v>181</v>
      </c>
      <c r="D169" t="s">
        <v>105</v>
      </c>
      <c r="E169" t="s">
        <v>15</v>
      </c>
      <c r="F169">
        <v>753.48</v>
      </c>
      <c r="G169" t="s">
        <v>106</v>
      </c>
      <c r="H169" s="2">
        <v>46252</v>
      </c>
      <c r="I169" s="1">
        <v>46342</v>
      </c>
      <c r="K169" t="s">
        <v>34</v>
      </c>
    </row>
    <row r="170" spans="1:16" x14ac:dyDescent="0.35">
      <c r="A170" s="1">
        <v>46204</v>
      </c>
      <c r="B170" t="s">
        <v>339</v>
      </c>
      <c r="C170">
        <v>2353</v>
      </c>
      <c r="D170" t="s">
        <v>151</v>
      </c>
      <c r="E170" t="s">
        <v>22</v>
      </c>
      <c r="F170">
        <v>371.5</v>
      </c>
      <c r="G170" t="s">
        <v>37</v>
      </c>
      <c r="H170" s="2">
        <v>46252</v>
      </c>
      <c r="I170" s="1">
        <v>46342</v>
      </c>
      <c r="K170" t="s">
        <v>34</v>
      </c>
    </row>
    <row r="171" spans="1:16" x14ac:dyDescent="0.35">
      <c r="A171" s="1">
        <v>46204</v>
      </c>
      <c r="B171" t="s">
        <v>340</v>
      </c>
      <c r="C171">
        <v>4092</v>
      </c>
      <c r="D171" t="s">
        <v>119</v>
      </c>
      <c r="E171" t="s">
        <v>15</v>
      </c>
      <c r="F171">
        <v>255.2</v>
      </c>
      <c r="G171" t="s">
        <v>43</v>
      </c>
      <c r="H171" s="2">
        <v>46252</v>
      </c>
      <c r="I171" s="1">
        <v>46342</v>
      </c>
      <c r="K171" t="s">
        <v>33</v>
      </c>
    </row>
    <row r="172" spans="1:16" x14ac:dyDescent="0.35">
      <c r="A172" s="1">
        <v>46204</v>
      </c>
      <c r="B172" t="s">
        <v>341</v>
      </c>
      <c r="C172">
        <v>3688</v>
      </c>
      <c r="D172" t="s">
        <v>26</v>
      </c>
      <c r="E172" t="s">
        <v>15</v>
      </c>
      <c r="F172">
        <v>3638.92</v>
      </c>
      <c r="G172" t="s">
        <v>16</v>
      </c>
      <c r="H172" s="2">
        <v>46252</v>
      </c>
      <c r="I172" s="1">
        <v>46342</v>
      </c>
      <c r="K172" t="s">
        <v>34</v>
      </c>
    </row>
    <row r="173" spans="1:16" x14ac:dyDescent="0.35">
      <c r="A173" s="1">
        <v>46204</v>
      </c>
      <c r="B173" t="s">
        <v>342</v>
      </c>
      <c r="C173">
        <v>3684</v>
      </c>
      <c r="D173" t="s">
        <v>203</v>
      </c>
      <c r="E173" t="s">
        <v>15</v>
      </c>
      <c r="F173">
        <v>16218.85</v>
      </c>
      <c r="G173" t="s">
        <v>16</v>
      </c>
      <c r="H173" s="2">
        <v>46252</v>
      </c>
      <c r="I173" s="1">
        <v>46342</v>
      </c>
      <c r="K173" t="s">
        <v>34</v>
      </c>
    </row>
    <row r="174" spans="1:16" x14ac:dyDescent="0.35">
      <c r="A174" s="1">
        <v>46204</v>
      </c>
      <c r="B174" t="s">
        <v>343</v>
      </c>
      <c r="C174">
        <v>2099</v>
      </c>
      <c r="D174" t="s">
        <v>344</v>
      </c>
      <c r="E174" t="s">
        <v>15</v>
      </c>
      <c r="F174">
        <v>22</v>
      </c>
      <c r="G174" t="s">
        <v>106</v>
      </c>
      <c r="H174" s="2">
        <v>46252</v>
      </c>
      <c r="I174" s="1">
        <v>46342</v>
      </c>
      <c r="K174" t="s">
        <v>33</v>
      </c>
    </row>
    <row r="175" spans="1:16" x14ac:dyDescent="0.35">
      <c r="A175" s="1">
        <v>46204</v>
      </c>
      <c r="B175" t="s">
        <v>345</v>
      </c>
      <c r="C175">
        <v>1692</v>
      </c>
      <c r="D175" t="s">
        <v>146</v>
      </c>
      <c r="E175" t="s">
        <v>15</v>
      </c>
      <c r="F175">
        <v>711.87</v>
      </c>
      <c r="G175" t="s">
        <v>65</v>
      </c>
      <c r="H175" s="2">
        <v>46252</v>
      </c>
      <c r="I175" s="1">
        <v>46342</v>
      </c>
      <c r="K175" t="s">
        <v>34</v>
      </c>
    </row>
    <row r="176" spans="1:16" x14ac:dyDescent="0.35">
      <c r="A176" s="1">
        <v>46204</v>
      </c>
      <c r="B176" t="s">
        <v>346</v>
      </c>
      <c r="C176">
        <v>447</v>
      </c>
      <c r="D176" t="s">
        <v>144</v>
      </c>
      <c r="E176" t="s">
        <v>15</v>
      </c>
      <c r="F176">
        <v>99.36</v>
      </c>
      <c r="G176" t="s">
        <v>65</v>
      </c>
      <c r="H176" s="2">
        <v>46252</v>
      </c>
      <c r="I176" s="1">
        <v>46342</v>
      </c>
      <c r="K176" t="s">
        <v>33</v>
      </c>
    </row>
    <row r="177" spans="1:16" x14ac:dyDescent="0.35">
      <c r="A177" s="1">
        <v>46204</v>
      </c>
      <c r="B177" t="s">
        <v>347</v>
      </c>
      <c r="C177">
        <v>128</v>
      </c>
      <c r="D177" t="s">
        <v>134</v>
      </c>
      <c r="E177" t="s">
        <v>22</v>
      </c>
      <c r="F177">
        <v>1265.55</v>
      </c>
      <c r="G177" t="s">
        <v>31</v>
      </c>
      <c r="H177" s="2">
        <v>46252</v>
      </c>
      <c r="I177" s="1">
        <v>46342</v>
      </c>
      <c r="K177" t="s">
        <v>34</v>
      </c>
    </row>
    <row r="178" spans="1:16" x14ac:dyDescent="0.35">
      <c r="A178" s="1">
        <v>46204</v>
      </c>
      <c r="B178" t="s">
        <v>348</v>
      </c>
      <c r="C178">
        <v>5781</v>
      </c>
      <c r="D178" t="s">
        <v>349</v>
      </c>
      <c r="E178" t="s">
        <v>22</v>
      </c>
      <c r="F178">
        <v>40.950000000000003</v>
      </c>
      <c r="G178" t="s">
        <v>43</v>
      </c>
      <c r="H178" s="2">
        <v>46252</v>
      </c>
      <c r="I178" s="1">
        <v>46342</v>
      </c>
      <c r="K178" t="s">
        <v>33</v>
      </c>
    </row>
    <row r="179" spans="1:16" x14ac:dyDescent="0.35">
      <c r="A179" s="1">
        <v>46204</v>
      </c>
      <c r="B179" t="s">
        <v>350</v>
      </c>
      <c r="C179">
        <v>4151</v>
      </c>
      <c r="D179" t="s">
        <v>247</v>
      </c>
      <c r="E179" t="s">
        <v>15</v>
      </c>
      <c r="F179">
        <v>109.86</v>
      </c>
      <c r="G179" t="s">
        <v>106</v>
      </c>
      <c r="H179" s="2">
        <v>46252</v>
      </c>
      <c r="I179" s="1">
        <v>46342</v>
      </c>
      <c r="K179" t="s">
        <v>33</v>
      </c>
    </row>
    <row r="180" spans="1:16" x14ac:dyDescent="0.35">
      <c r="A180" s="1">
        <v>46204</v>
      </c>
      <c r="B180" t="s">
        <v>351</v>
      </c>
      <c r="C180">
        <v>143</v>
      </c>
      <c r="D180" t="s">
        <v>352</v>
      </c>
      <c r="E180" t="s">
        <v>15</v>
      </c>
      <c r="F180">
        <v>20.8</v>
      </c>
      <c r="G180" t="s">
        <v>70</v>
      </c>
      <c r="H180" s="2">
        <v>46252</v>
      </c>
      <c r="I180" s="1">
        <v>46342</v>
      </c>
      <c r="K180" t="s">
        <v>24</v>
      </c>
      <c r="L180" t="s">
        <v>19</v>
      </c>
      <c r="P180" t="s">
        <v>353</v>
      </c>
    </row>
    <row r="181" spans="1:16" x14ac:dyDescent="0.35">
      <c r="A181" s="1">
        <v>46204</v>
      </c>
      <c r="B181" t="s">
        <v>354</v>
      </c>
      <c r="C181">
        <v>2762</v>
      </c>
      <c r="D181" t="s">
        <v>93</v>
      </c>
      <c r="E181" t="s">
        <v>22</v>
      </c>
      <c r="F181">
        <v>6790.81</v>
      </c>
      <c r="G181" t="s">
        <v>16</v>
      </c>
      <c r="H181" s="2">
        <v>46252</v>
      </c>
      <c r="I181" s="1">
        <v>46342</v>
      </c>
      <c r="K181" t="s">
        <v>142</v>
      </c>
      <c r="P181" t="s">
        <v>355</v>
      </c>
    </row>
    <row r="182" spans="1:16" x14ac:dyDescent="0.35">
      <c r="A182" s="1">
        <v>46204</v>
      </c>
      <c r="B182" t="s">
        <v>356</v>
      </c>
      <c r="C182">
        <v>5790</v>
      </c>
      <c r="D182" t="s">
        <v>83</v>
      </c>
      <c r="E182" t="s">
        <v>22</v>
      </c>
      <c r="F182">
        <v>2608.3200000000002</v>
      </c>
      <c r="G182" t="s">
        <v>43</v>
      </c>
      <c r="H182" s="2">
        <v>46252</v>
      </c>
      <c r="I182" s="1">
        <v>46342</v>
      </c>
      <c r="K182" t="s">
        <v>34</v>
      </c>
    </row>
    <row r="183" spans="1:16" x14ac:dyDescent="0.35">
      <c r="A183" s="1">
        <v>46204</v>
      </c>
      <c r="B183" t="s">
        <v>357</v>
      </c>
      <c r="C183">
        <v>5841</v>
      </c>
      <c r="D183" t="s">
        <v>358</v>
      </c>
      <c r="E183" t="s">
        <v>15</v>
      </c>
      <c r="F183">
        <v>56.79</v>
      </c>
      <c r="G183" t="s">
        <v>37</v>
      </c>
      <c r="H183" s="2">
        <v>46252</v>
      </c>
      <c r="I183" s="1">
        <v>46342</v>
      </c>
      <c r="K183" t="s">
        <v>33</v>
      </c>
    </row>
    <row r="184" spans="1:16" x14ac:dyDescent="0.35">
      <c r="A184" s="1">
        <v>46204</v>
      </c>
      <c r="B184" t="s">
        <v>359</v>
      </c>
      <c r="C184">
        <v>2344</v>
      </c>
      <c r="D184" t="s">
        <v>51</v>
      </c>
      <c r="E184" t="s">
        <v>15</v>
      </c>
      <c r="F184">
        <v>704.69</v>
      </c>
      <c r="G184" t="s">
        <v>52</v>
      </c>
      <c r="H184" s="2">
        <v>46252</v>
      </c>
      <c r="I184" s="1">
        <v>46342</v>
      </c>
      <c r="K184" t="s">
        <v>34</v>
      </c>
    </row>
    <row r="185" spans="1:16" x14ac:dyDescent="0.35">
      <c r="A185" s="1">
        <v>46204</v>
      </c>
      <c r="B185" t="s">
        <v>360</v>
      </c>
      <c r="C185">
        <v>3903</v>
      </c>
      <c r="D185" t="s">
        <v>361</v>
      </c>
      <c r="E185" t="s">
        <v>15</v>
      </c>
      <c r="F185">
        <v>1714.96</v>
      </c>
      <c r="G185" t="s">
        <v>31</v>
      </c>
      <c r="H185" s="2">
        <v>46252</v>
      </c>
      <c r="I185" s="1">
        <v>46342</v>
      </c>
      <c r="K185" t="s">
        <v>34</v>
      </c>
    </row>
    <row r="186" spans="1:16" x14ac:dyDescent="0.35">
      <c r="A186" s="1">
        <v>46204</v>
      </c>
      <c r="B186" t="s">
        <v>362</v>
      </c>
      <c r="C186">
        <v>2508</v>
      </c>
      <c r="D186" t="s">
        <v>201</v>
      </c>
      <c r="E186" t="s">
        <v>15</v>
      </c>
      <c r="F186">
        <v>577.98</v>
      </c>
      <c r="G186" t="s">
        <v>43</v>
      </c>
      <c r="H186" s="2">
        <v>46252</v>
      </c>
      <c r="I186" s="1">
        <v>46342</v>
      </c>
      <c r="K186" t="s">
        <v>34</v>
      </c>
    </row>
    <row r="187" spans="1:16" x14ac:dyDescent="0.35">
      <c r="A187" s="1">
        <v>46204</v>
      </c>
      <c r="B187" t="s">
        <v>363</v>
      </c>
      <c r="C187">
        <v>467</v>
      </c>
      <c r="D187" t="s">
        <v>36</v>
      </c>
      <c r="E187" t="s">
        <v>15</v>
      </c>
      <c r="F187">
        <v>548.89</v>
      </c>
      <c r="G187" t="s">
        <v>37</v>
      </c>
      <c r="H187" s="2">
        <v>46252</v>
      </c>
      <c r="I187" s="1">
        <v>46342</v>
      </c>
      <c r="K187" t="s">
        <v>34</v>
      </c>
    </row>
    <row r="188" spans="1:16" x14ac:dyDescent="0.35">
      <c r="A188" s="1">
        <v>46204</v>
      </c>
      <c r="B188" t="s">
        <v>364</v>
      </c>
      <c r="C188">
        <v>3944</v>
      </c>
      <c r="D188" t="s">
        <v>365</v>
      </c>
      <c r="E188" t="s">
        <v>15</v>
      </c>
      <c r="F188">
        <v>1259.33</v>
      </c>
      <c r="G188" t="s">
        <v>65</v>
      </c>
      <c r="H188" s="2">
        <v>46253</v>
      </c>
      <c r="I188" s="1">
        <v>46343</v>
      </c>
      <c r="K188" t="s">
        <v>34</v>
      </c>
    </row>
    <row r="189" spans="1:16" x14ac:dyDescent="0.35">
      <c r="A189" s="1">
        <v>46204</v>
      </c>
      <c r="B189" t="s">
        <v>366</v>
      </c>
      <c r="C189">
        <v>2736</v>
      </c>
      <c r="D189" t="s">
        <v>367</v>
      </c>
      <c r="E189" t="s">
        <v>22</v>
      </c>
      <c r="F189">
        <v>1330.28</v>
      </c>
      <c r="G189" t="s">
        <v>31</v>
      </c>
      <c r="H189" s="2">
        <v>46252</v>
      </c>
      <c r="I189" s="1">
        <v>46342</v>
      </c>
      <c r="K189" t="s">
        <v>34</v>
      </c>
    </row>
    <row r="190" spans="1:16" x14ac:dyDescent="0.35">
      <c r="A190" s="1">
        <v>46204</v>
      </c>
      <c r="B190" t="s">
        <v>368</v>
      </c>
      <c r="C190">
        <v>1122</v>
      </c>
      <c r="D190" t="s">
        <v>369</v>
      </c>
      <c r="E190" t="s">
        <v>15</v>
      </c>
      <c r="F190">
        <v>28.71</v>
      </c>
      <c r="G190" t="s">
        <v>106</v>
      </c>
      <c r="H190" s="2">
        <v>46252</v>
      </c>
      <c r="I190" s="1">
        <v>46342</v>
      </c>
      <c r="K190" t="s">
        <v>33</v>
      </c>
    </row>
    <row r="191" spans="1:16" x14ac:dyDescent="0.35">
      <c r="A191" s="1">
        <v>46204</v>
      </c>
      <c r="B191" t="s">
        <v>370</v>
      </c>
      <c r="C191">
        <v>2728</v>
      </c>
      <c r="D191" t="s">
        <v>127</v>
      </c>
      <c r="E191" t="s">
        <v>15</v>
      </c>
      <c r="F191">
        <v>17027.2</v>
      </c>
      <c r="G191" t="s">
        <v>37</v>
      </c>
      <c r="H191" s="2">
        <v>46252</v>
      </c>
      <c r="I191" s="1">
        <v>46342</v>
      </c>
      <c r="K191" t="s">
        <v>34</v>
      </c>
    </row>
    <row r="192" spans="1:16" x14ac:dyDescent="0.35">
      <c r="A192" s="1">
        <v>46204</v>
      </c>
      <c r="B192" t="s">
        <v>371</v>
      </c>
      <c r="C192">
        <v>2622</v>
      </c>
      <c r="D192" t="s">
        <v>173</v>
      </c>
      <c r="E192" t="s">
        <v>15</v>
      </c>
      <c r="F192">
        <v>5039.1000000000004</v>
      </c>
      <c r="G192" t="s">
        <v>65</v>
      </c>
      <c r="H192" s="2">
        <v>46252</v>
      </c>
      <c r="I192" s="1">
        <v>46342</v>
      </c>
      <c r="K192" t="s">
        <v>24</v>
      </c>
      <c r="L192" t="s">
        <v>19</v>
      </c>
      <c r="P192" t="s">
        <v>372</v>
      </c>
    </row>
    <row r="193" spans="1:11" x14ac:dyDescent="0.35">
      <c r="A193" s="1">
        <v>46204</v>
      </c>
      <c r="B193" t="s">
        <v>373</v>
      </c>
      <c r="C193">
        <v>3825</v>
      </c>
      <c r="D193" t="s">
        <v>121</v>
      </c>
      <c r="E193" t="s">
        <v>15</v>
      </c>
      <c r="F193">
        <v>941.16</v>
      </c>
      <c r="G193" t="s">
        <v>70</v>
      </c>
      <c r="H193" s="2">
        <v>46252</v>
      </c>
      <c r="I193" s="1">
        <v>46342</v>
      </c>
      <c r="K193" t="s">
        <v>34</v>
      </c>
    </row>
    <row r="194" spans="1:11" x14ac:dyDescent="0.35">
      <c r="A194" s="1">
        <v>46204</v>
      </c>
      <c r="B194" t="s">
        <v>374</v>
      </c>
      <c r="C194">
        <v>2434</v>
      </c>
      <c r="D194" t="s">
        <v>108</v>
      </c>
      <c r="E194" t="s">
        <v>15</v>
      </c>
      <c r="F194">
        <v>12806.26</v>
      </c>
      <c r="G194" t="s">
        <v>81</v>
      </c>
      <c r="H194" s="2">
        <v>46252</v>
      </c>
      <c r="I194" s="1">
        <v>46342</v>
      </c>
      <c r="K194" t="s">
        <v>34</v>
      </c>
    </row>
    <row r="195" spans="1:11" x14ac:dyDescent="0.35">
      <c r="A195" s="1">
        <v>46235</v>
      </c>
      <c r="B195" t="s">
        <v>375</v>
      </c>
      <c r="C195">
        <v>3829</v>
      </c>
      <c r="D195" t="s">
        <v>42</v>
      </c>
      <c r="E195" t="s">
        <v>15</v>
      </c>
      <c r="F195">
        <v>505.76</v>
      </c>
      <c r="G195" t="s">
        <v>43</v>
      </c>
      <c r="H195" s="2">
        <v>46282</v>
      </c>
      <c r="I195" s="1">
        <v>46372</v>
      </c>
      <c r="K195" t="s">
        <v>34</v>
      </c>
    </row>
    <row r="196" spans="1:11" x14ac:dyDescent="0.35">
      <c r="A196" s="1">
        <v>46235</v>
      </c>
      <c r="B196" t="s">
        <v>376</v>
      </c>
      <c r="C196">
        <v>2404</v>
      </c>
      <c r="D196" t="s">
        <v>194</v>
      </c>
      <c r="E196" t="s">
        <v>15</v>
      </c>
      <c r="F196">
        <v>455.7</v>
      </c>
      <c r="G196" t="s">
        <v>37</v>
      </c>
      <c r="H196" s="2">
        <v>46282</v>
      </c>
      <c r="I196" s="1">
        <v>46372</v>
      </c>
      <c r="K196" t="s">
        <v>34</v>
      </c>
    </row>
    <row r="197" spans="1:11" x14ac:dyDescent="0.35">
      <c r="A197" s="1">
        <v>46235</v>
      </c>
      <c r="B197" t="s">
        <v>377</v>
      </c>
      <c r="C197">
        <v>4166</v>
      </c>
      <c r="D197" t="s">
        <v>378</v>
      </c>
      <c r="E197" t="s">
        <v>15</v>
      </c>
      <c r="F197">
        <v>1562</v>
      </c>
      <c r="G197" t="s">
        <v>65</v>
      </c>
      <c r="H197" s="2">
        <v>46282</v>
      </c>
      <c r="I197" s="1">
        <v>46372</v>
      </c>
      <c r="K197" t="s">
        <v>34</v>
      </c>
    </row>
    <row r="198" spans="1:11" x14ac:dyDescent="0.35">
      <c r="A198" s="1">
        <v>46235</v>
      </c>
      <c r="B198" t="s">
        <v>379</v>
      </c>
      <c r="C198">
        <v>2508</v>
      </c>
      <c r="D198" t="s">
        <v>201</v>
      </c>
      <c r="E198" t="s">
        <v>15</v>
      </c>
      <c r="F198">
        <v>4547.05</v>
      </c>
      <c r="G198" t="s">
        <v>43</v>
      </c>
      <c r="H198" s="2">
        <v>46282</v>
      </c>
      <c r="I198" s="1">
        <v>46372</v>
      </c>
      <c r="K198" t="s">
        <v>34</v>
      </c>
    </row>
    <row r="199" spans="1:11" x14ac:dyDescent="0.35">
      <c r="A199" s="1">
        <v>46235</v>
      </c>
      <c r="B199" t="s">
        <v>380</v>
      </c>
      <c r="C199">
        <v>272</v>
      </c>
      <c r="D199" t="s">
        <v>208</v>
      </c>
      <c r="E199" t="s">
        <v>15</v>
      </c>
      <c r="F199">
        <v>557.26</v>
      </c>
      <c r="G199" t="s">
        <v>31</v>
      </c>
      <c r="H199" s="2">
        <v>46282</v>
      </c>
      <c r="I199" s="1">
        <v>46372</v>
      </c>
      <c r="K199" t="s">
        <v>34</v>
      </c>
    </row>
    <row r="200" spans="1:11" x14ac:dyDescent="0.35">
      <c r="A200" s="1">
        <v>46235</v>
      </c>
      <c r="B200" t="s">
        <v>381</v>
      </c>
      <c r="C200">
        <v>5680</v>
      </c>
      <c r="D200" t="s">
        <v>189</v>
      </c>
      <c r="E200" t="s">
        <v>15</v>
      </c>
      <c r="F200">
        <v>495</v>
      </c>
      <c r="G200" t="s">
        <v>43</v>
      </c>
      <c r="H200" s="2">
        <v>46282</v>
      </c>
      <c r="I200" s="1">
        <v>46372</v>
      </c>
      <c r="K200" t="s">
        <v>34</v>
      </c>
    </row>
    <row r="201" spans="1:11" x14ac:dyDescent="0.35">
      <c r="A201" s="1">
        <v>46235</v>
      </c>
      <c r="B201" t="s">
        <v>382</v>
      </c>
      <c r="C201">
        <v>4138</v>
      </c>
      <c r="D201" t="s">
        <v>14</v>
      </c>
      <c r="E201" t="s">
        <v>15</v>
      </c>
      <c r="F201">
        <v>92.02</v>
      </c>
      <c r="G201" t="s">
        <v>16</v>
      </c>
      <c r="H201" s="2">
        <v>46282</v>
      </c>
      <c r="I201" s="1">
        <v>46372</v>
      </c>
      <c r="K201" t="s">
        <v>33</v>
      </c>
    </row>
    <row r="202" spans="1:11" x14ac:dyDescent="0.35">
      <c r="A202" s="1">
        <v>46235</v>
      </c>
      <c r="B202" t="s">
        <v>383</v>
      </c>
      <c r="C202">
        <v>6091</v>
      </c>
      <c r="D202" t="s">
        <v>384</v>
      </c>
      <c r="E202" t="s">
        <v>15</v>
      </c>
      <c r="F202">
        <v>297.25</v>
      </c>
      <c r="G202" t="s">
        <v>106</v>
      </c>
      <c r="H202" s="2">
        <v>46282</v>
      </c>
      <c r="I202" s="1">
        <v>46372</v>
      </c>
      <c r="K202" t="s">
        <v>33</v>
      </c>
    </row>
    <row r="203" spans="1:11" x14ac:dyDescent="0.35">
      <c r="A203" s="1">
        <v>46235</v>
      </c>
      <c r="B203" t="s">
        <v>385</v>
      </c>
      <c r="C203">
        <v>405</v>
      </c>
      <c r="D203" t="s">
        <v>69</v>
      </c>
      <c r="E203" t="s">
        <v>15</v>
      </c>
      <c r="F203">
        <v>71.400000000000006</v>
      </c>
      <c r="G203" t="s">
        <v>70</v>
      </c>
      <c r="H203" s="2">
        <v>46282</v>
      </c>
      <c r="I203" s="1">
        <v>46372</v>
      </c>
      <c r="K203" t="s">
        <v>33</v>
      </c>
    </row>
    <row r="204" spans="1:11" x14ac:dyDescent="0.35">
      <c r="A204" s="1">
        <v>46235</v>
      </c>
      <c r="B204" t="s">
        <v>386</v>
      </c>
      <c r="C204">
        <v>181</v>
      </c>
      <c r="D204" t="s">
        <v>105</v>
      </c>
      <c r="E204" t="s">
        <v>15</v>
      </c>
      <c r="F204">
        <v>251.16</v>
      </c>
      <c r="G204" t="s">
        <v>106</v>
      </c>
      <c r="H204" s="2">
        <v>46282</v>
      </c>
      <c r="I204" s="1">
        <v>46372</v>
      </c>
      <c r="K204" t="s">
        <v>33</v>
      </c>
    </row>
    <row r="205" spans="1:11" x14ac:dyDescent="0.35">
      <c r="A205" s="1">
        <v>46235</v>
      </c>
      <c r="B205" t="s">
        <v>387</v>
      </c>
      <c r="C205">
        <v>1144</v>
      </c>
      <c r="D205" t="s">
        <v>199</v>
      </c>
      <c r="E205" t="s">
        <v>15</v>
      </c>
      <c r="F205">
        <v>859.88</v>
      </c>
      <c r="G205" t="s">
        <v>43</v>
      </c>
      <c r="H205" s="2">
        <v>46282</v>
      </c>
      <c r="I205" s="1">
        <v>46372</v>
      </c>
      <c r="K205" t="s">
        <v>34</v>
      </c>
    </row>
    <row r="206" spans="1:11" x14ac:dyDescent="0.35">
      <c r="A206" s="1">
        <v>46235</v>
      </c>
      <c r="B206" t="s">
        <v>388</v>
      </c>
      <c r="C206">
        <v>202</v>
      </c>
      <c r="D206" t="s">
        <v>30</v>
      </c>
      <c r="E206" t="s">
        <v>15</v>
      </c>
      <c r="F206">
        <v>3.45</v>
      </c>
      <c r="G206" t="s">
        <v>31</v>
      </c>
      <c r="H206" s="2">
        <v>46282</v>
      </c>
      <c r="I206" s="1">
        <v>46372</v>
      </c>
      <c r="K206" t="s">
        <v>33</v>
      </c>
    </row>
    <row r="207" spans="1:11" x14ac:dyDescent="0.35">
      <c r="A207" s="1">
        <v>46235</v>
      </c>
      <c r="B207" t="s">
        <v>389</v>
      </c>
      <c r="C207">
        <v>4486</v>
      </c>
      <c r="D207" t="s">
        <v>239</v>
      </c>
      <c r="E207" t="s">
        <v>15</v>
      </c>
      <c r="F207">
        <v>1420.2</v>
      </c>
      <c r="G207" t="s">
        <v>106</v>
      </c>
      <c r="H207" s="2">
        <v>46282</v>
      </c>
      <c r="I207" s="1">
        <v>46372</v>
      </c>
      <c r="K207" t="s">
        <v>34</v>
      </c>
    </row>
    <row r="208" spans="1:11" x14ac:dyDescent="0.35">
      <c r="A208" s="1">
        <v>46235</v>
      </c>
      <c r="B208" t="s">
        <v>390</v>
      </c>
      <c r="C208">
        <v>3954</v>
      </c>
      <c r="D208" t="s">
        <v>73</v>
      </c>
      <c r="E208" t="s">
        <v>15</v>
      </c>
      <c r="F208">
        <v>100.04</v>
      </c>
      <c r="G208" t="s">
        <v>43</v>
      </c>
      <c r="H208" s="2">
        <v>46282</v>
      </c>
      <c r="I208" s="1">
        <v>46372</v>
      </c>
      <c r="K208" t="s">
        <v>33</v>
      </c>
    </row>
    <row r="209" spans="1:11" x14ac:dyDescent="0.35">
      <c r="A209" s="1">
        <v>46235</v>
      </c>
      <c r="B209" t="s">
        <v>391</v>
      </c>
      <c r="C209">
        <v>204</v>
      </c>
      <c r="D209" t="s">
        <v>80</v>
      </c>
      <c r="E209" t="s">
        <v>15</v>
      </c>
      <c r="F209">
        <v>413.1</v>
      </c>
      <c r="G209" t="s">
        <v>81</v>
      </c>
      <c r="H209" s="2">
        <v>46282</v>
      </c>
      <c r="I209" s="1">
        <v>46372</v>
      </c>
      <c r="K209" t="s">
        <v>34</v>
      </c>
    </row>
    <row r="210" spans="1:11" x14ac:dyDescent="0.35">
      <c r="A210" s="1">
        <v>46235</v>
      </c>
      <c r="B210" t="s">
        <v>392</v>
      </c>
      <c r="C210">
        <v>4895</v>
      </c>
      <c r="D210" t="s">
        <v>393</v>
      </c>
      <c r="E210" t="s">
        <v>15</v>
      </c>
      <c r="F210">
        <v>70.5</v>
      </c>
      <c r="G210" t="s">
        <v>31</v>
      </c>
      <c r="H210" s="2">
        <v>46282</v>
      </c>
      <c r="I210" s="1">
        <v>46372</v>
      </c>
      <c r="K210" t="s">
        <v>33</v>
      </c>
    </row>
    <row r="211" spans="1:11" x14ac:dyDescent="0.35">
      <c r="A211" s="1">
        <v>46235</v>
      </c>
      <c r="B211" t="s">
        <v>394</v>
      </c>
      <c r="C211">
        <v>372</v>
      </c>
      <c r="D211" t="s">
        <v>191</v>
      </c>
      <c r="E211" t="s">
        <v>15</v>
      </c>
      <c r="F211">
        <v>64.37</v>
      </c>
      <c r="G211" t="s">
        <v>70</v>
      </c>
      <c r="H211" s="2">
        <v>46282</v>
      </c>
      <c r="I211" s="1">
        <v>46372</v>
      </c>
      <c r="K211" t="s">
        <v>33</v>
      </c>
    </row>
    <row r="212" spans="1:11" x14ac:dyDescent="0.35">
      <c r="A212" s="1">
        <v>46235</v>
      </c>
      <c r="B212" t="s">
        <v>395</v>
      </c>
      <c r="C212">
        <v>1789</v>
      </c>
      <c r="D212" t="s">
        <v>396</v>
      </c>
      <c r="E212" t="s">
        <v>15</v>
      </c>
      <c r="F212">
        <v>25.2</v>
      </c>
      <c r="G212" t="s">
        <v>106</v>
      </c>
      <c r="H212" s="2">
        <v>46282</v>
      </c>
      <c r="I212" s="1">
        <v>46372</v>
      </c>
      <c r="K212" t="s">
        <v>33</v>
      </c>
    </row>
    <row r="213" spans="1:11" x14ac:dyDescent="0.35">
      <c r="A213" s="1">
        <v>46235</v>
      </c>
      <c r="B213" t="s">
        <v>397</v>
      </c>
      <c r="C213">
        <v>2622</v>
      </c>
      <c r="D213" t="s">
        <v>173</v>
      </c>
      <c r="E213" t="s">
        <v>15</v>
      </c>
      <c r="F213">
        <v>58372.04</v>
      </c>
      <c r="G213" t="s">
        <v>65</v>
      </c>
      <c r="H213" s="2">
        <v>46282</v>
      </c>
      <c r="I213" s="1">
        <v>46372</v>
      </c>
      <c r="K213" t="s">
        <v>34</v>
      </c>
    </row>
    <row r="214" spans="1:11" x14ac:dyDescent="0.35">
      <c r="A214" s="1">
        <v>46235</v>
      </c>
      <c r="B214" t="s">
        <v>398</v>
      </c>
      <c r="C214">
        <v>1692</v>
      </c>
      <c r="D214" t="s">
        <v>146</v>
      </c>
      <c r="E214" t="s">
        <v>15</v>
      </c>
      <c r="F214">
        <v>270.87</v>
      </c>
      <c r="G214" t="s">
        <v>65</v>
      </c>
      <c r="H214" s="2">
        <v>46282</v>
      </c>
      <c r="I214" s="1">
        <v>46372</v>
      </c>
      <c r="K214" t="s">
        <v>33</v>
      </c>
    </row>
    <row r="215" spans="1:11" x14ac:dyDescent="0.35">
      <c r="A215" s="1">
        <v>46235</v>
      </c>
      <c r="B215" t="s">
        <v>399</v>
      </c>
      <c r="C215">
        <v>121</v>
      </c>
      <c r="D215" t="s">
        <v>154</v>
      </c>
      <c r="E215" t="s">
        <v>15</v>
      </c>
      <c r="F215">
        <v>118.73</v>
      </c>
      <c r="G215" t="s">
        <v>16</v>
      </c>
      <c r="H215" s="2">
        <v>46282</v>
      </c>
      <c r="I215" s="1">
        <v>46372</v>
      </c>
      <c r="K215" t="s">
        <v>33</v>
      </c>
    </row>
    <row r="216" spans="1:11" x14ac:dyDescent="0.35">
      <c r="A216" s="1">
        <v>46235</v>
      </c>
      <c r="B216" t="s">
        <v>400</v>
      </c>
      <c r="C216">
        <v>1870</v>
      </c>
      <c r="D216" t="s">
        <v>21</v>
      </c>
      <c r="E216" t="s">
        <v>15</v>
      </c>
      <c r="F216">
        <v>493.42</v>
      </c>
      <c r="G216" t="s">
        <v>16</v>
      </c>
      <c r="H216" s="2">
        <v>46282</v>
      </c>
      <c r="I216" s="1">
        <v>46372</v>
      </c>
      <c r="K216" t="s">
        <v>34</v>
      </c>
    </row>
    <row r="217" spans="1:11" x14ac:dyDescent="0.35">
      <c r="A217" s="1">
        <v>46235</v>
      </c>
      <c r="B217" t="s">
        <v>401</v>
      </c>
      <c r="C217">
        <v>2857</v>
      </c>
      <c r="D217" t="s">
        <v>56</v>
      </c>
      <c r="E217" t="s">
        <v>15</v>
      </c>
      <c r="F217">
        <v>2857.52</v>
      </c>
      <c r="G217" t="s">
        <v>37</v>
      </c>
      <c r="H217" s="2">
        <v>46282</v>
      </c>
      <c r="I217" s="1">
        <v>46372</v>
      </c>
      <c r="K217" t="s">
        <v>34</v>
      </c>
    </row>
    <row r="218" spans="1:11" x14ac:dyDescent="0.35">
      <c r="A218" s="1">
        <v>46235</v>
      </c>
      <c r="B218" t="s">
        <v>402</v>
      </c>
      <c r="C218">
        <v>164</v>
      </c>
      <c r="D218" t="s">
        <v>148</v>
      </c>
      <c r="E218" t="s">
        <v>15</v>
      </c>
      <c r="F218">
        <v>1392.64</v>
      </c>
      <c r="G218" t="s">
        <v>31</v>
      </c>
      <c r="H218" s="2">
        <v>46282</v>
      </c>
      <c r="I218" s="1">
        <v>46372</v>
      </c>
      <c r="K218" t="s">
        <v>34</v>
      </c>
    </row>
    <row r="219" spans="1:11" x14ac:dyDescent="0.35">
      <c r="A219" s="1">
        <v>46235</v>
      </c>
      <c r="B219" t="s">
        <v>403</v>
      </c>
      <c r="C219">
        <v>4641</v>
      </c>
      <c r="D219" t="s">
        <v>332</v>
      </c>
      <c r="E219" t="s">
        <v>15</v>
      </c>
      <c r="F219">
        <v>180.02</v>
      </c>
      <c r="G219" t="s">
        <v>70</v>
      </c>
      <c r="H219" s="2">
        <v>46282</v>
      </c>
      <c r="I219" s="1">
        <v>46372</v>
      </c>
      <c r="K219" t="s">
        <v>33</v>
      </c>
    </row>
    <row r="220" spans="1:11" x14ac:dyDescent="0.35">
      <c r="A220" s="1">
        <v>46235</v>
      </c>
      <c r="B220" t="s">
        <v>404</v>
      </c>
      <c r="C220">
        <v>3825</v>
      </c>
      <c r="D220" t="s">
        <v>121</v>
      </c>
      <c r="E220" t="s">
        <v>15</v>
      </c>
      <c r="F220">
        <v>2112.9899999999998</v>
      </c>
      <c r="G220" t="s">
        <v>70</v>
      </c>
      <c r="H220" s="2">
        <v>46282</v>
      </c>
      <c r="I220" s="1">
        <v>46372</v>
      </c>
      <c r="K220" t="s">
        <v>34</v>
      </c>
    </row>
    <row r="221" spans="1:11" x14ac:dyDescent="0.35">
      <c r="A221" s="1">
        <v>46235</v>
      </c>
      <c r="B221" t="s">
        <v>405</v>
      </c>
      <c r="C221">
        <v>5925</v>
      </c>
      <c r="D221" t="s">
        <v>406</v>
      </c>
      <c r="E221" t="s">
        <v>15</v>
      </c>
      <c r="F221">
        <v>2676.98</v>
      </c>
      <c r="G221" t="s">
        <v>31</v>
      </c>
      <c r="H221" s="2">
        <v>46282</v>
      </c>
      <c r="I221" s="1">
        <v>46372</v>
      </c>
      <c r="K221" t="s">
        <v>34</v>
      </c>
    </row>
    <row r="222" spans="1:11" x14ac:dyDescent="0.35">
      <c r="A222" s="1">
        <v>46235</v>
      </c>
      <c r="B222" t="s">
        <v>407</v>
      </c>
      <c r="C222">
        <v>1122</v>
      </c>
      <c r="D222" t="s">
        <v>369</v>
      </c>
      <c r="E222" t="s">
        <v>15</v>
      </c>
      <c r="F222">
        <v>250.7</v>
      </c>
      <c r="G222" t="s">
        <v>106</v>
      </c>
      <c r="H222" s="2">
        <v>46282</v>
      </c>
      <c r="I222" s="1">
        <v>46372</v>
      </c>
      <c r="K222" t="s">
        <v>33</v>
      </c>
    </row>
    <row r="223" spans="1:11" x14ac:dyDescent="0.35">
      <c r="A223" s="1">
        <v>46235</v>
      </c>
      <c r="B223" t="s">
        <v>408</v>
      </c>
      <c r="C223">
        <v>1948</v>
      </c>
      <c r="D223" t="s">
        <v>102</v>
      </c>
      <c r="E223" t="s">
        <v>15</v>
      </c>
      <c r="F223">
        <v>829.35</v>
      </c>
      <c r="G223" t="s">
        <v>70</v>
      </c>
      <c r="H223" s="2">
        <v>46282</v>
      </c>
      <c r="I223" s="1">
        <v>46372</v>
      </c>
      <c r="K223" t="s">
        <v>34</v>
      </c>
    </row>
    <row r="224" spans="1:11" x14ac:dyDescent="0.35">
      <c r="A224" s="1">
        <v>46235</v>
      </c>
      <c r="B224" t="s">
        <v>409</v>
      </c>
      <c r="C224">
        <v>467</v>
      </c>
      <c r="D224" t="s">
        <v>36</v>
      </c>
      <c r="E224" t="s">
        <v>15</v>
      </c>
      <c r="F224">
        <v>27.71</v>
      </c>
      <c r="G224" t="s">
        <v>37</v>
      </c>
      <c r="H224" s="2">
        <v>46282</v>
      </c>
      <c r="I224" s="1">
        <v>46372</v>
      </c>
      <c r="K224" t="s">
        <v>33</v>
      </c>
    </row>
    <row r="225" spans="1:11" x14ac:dyDescent="0.35">
      <c r="A225" s="1">
        <v>46235</v>
      </c>
      <c r="B225" t="s">
        <v>410</v>
      </c>
      <c r="C225">
        <v>35</v>
      </c>
      <c r="D225" t="s">
        <v>39</v>
      </c>
      <c r="E225" t="s">
        <v>15</v>
      </c>
      <c r="F225">
        <v>398.04</v>
      </c>
      <c r="G225" t="s">
        <v>70</v>
      </c>
      <c r="H225" s="2">
        <v>46282</v>
      </c>
      <c r="I225" s="1">
        <v>46372</v>
      </c>
      <c r="K225" t="s">
        <v>34</v>
      </c>
    </row>
    <row r="226" spans="1:11" x14ac:dyDescent="0.35">
      <c r="A226" s="1">
        <v>46235</v>
      </c>
      <c r="B226" t="s">
        <v>411</v>
      </c>
      <c r="C226">
        <v>4647</v>
      </c>
      <c r="D226" t="s">
        <v>46</v>
      </c>
      <c r="E226" t="s">
        <v>15</v>
      </c>
      <c r="F226">
        <v>1908.45</v>
      </c>
      <c r="G226" t="s">
        <v>43</v>
      </c>
      <c r="H226" s="2">
        <v>46282</v>
      </c>
      <c r="I226" s="1">
        <v>46372</v>
      </c>
      <c r="K226" t="s">
        <v>34</v>
      </c>
    </row>
    <row r="227" spans="1:11" x14ac:dyDescent="0.35">
      <c r="A227" s="1">
        <v>46235</v>
      </c>
      <c r="B227" t="s">
        <v>412</v>
      </c>
      <c r="C227">
        <v>255</v>
      </c>
      <c r="D227" t="s">
        <v>157</v>
      </c>
      <c r="E227" t="s">
        <v>15</v>
      </c>
      <c r="F227">
        <v>994.36</v>
      </c>
      <c r="G227" t="s">
        <v>43</v>
      </c>
      <c r="H227" s="2">
        <v>46282</v>
      </c>
      <c r="I227" s="1">
        <v>46372</v>
      </c>
      <c r="K227" t="s">
        <v>34</v>
      </c>
    </row>
    <row r="228" spans="1:11" x14ac:dyDescent="0.35">
      <c r="A228" s="1">
        <v>46235</v>
      </c>
      <c r="B228" t="s">
        <v>413</v>
      </c>
      <c r="C228">
        <v>3688</v>
      </c>
      <c r="D228" t="s">
        <v>26</v>
      </c>
      <c r="E228" t="s">
        <v>15</v>
      </c>
      <c r="F228">
        <v>4847.6000000000004</v>
      </c>
      <c r="G228" t="s">
        <v>16</v>
      </c>
      <c r="H228" s="2">
        <v>46282</v>
      </c>
      <c r="I228" s="1">
        <v>46372</v>
      </c>
      <c r="K228" t="s">
        <v>34</v>
      </c>
    </row>
    <row r="229" spans="1:11" x14ac:dyDescent="0.35">
      <c r="A229" s="1">
        <v>46235</v>
      </c>
      <c r="B229" t="s">
        <v>414</v>
      </c>
      <c r="C229">
        <v>3684</v>
      </c>
      <c r="D229" t="s">
        <v>203</v>
      </c>
      <c r="E229" t="s">
        <v>15</v>
      </c>
      <c r="F229">
        <v>6283.56</v>
      </c>
      <c r="G229" t="s">
        <v>16</v>
      </c>
      <c r="H229" s="2">
        <v>46282</v>
      </c>
      <c r="I229" s="1">
        <v>46372</v>
      </c>
      <c r="K229" t="s">
        <v>34</v>
      </c>
    </row>
    <row r="230" spans="1:11" x14ac:dyDescent="0.35">
      <c r="A230" s="1">
        <v>46235</v>
      </c>
      <c r="B230" t="s">
        <v>415</v>
      </c>
      <c r="C230">
        <v>2762</v>
      </c>
      <c r="D230" t="s">
        <v>93</v>
      </c>
      <c r="E230" t="s">
        <v>15</v>
      </c>
      <c r="F230">
        <v>3791.3</v>
      </c>
      <c r="G230" t="s">
        <v>16</v>
      </c>
      <c r="H230" s="2">
        <v>46282</v>
      </c>
      <c r="I230" s="1">
        <v>46372</v>
      </c>
      <c r="K230" t="s">
        <v>34</v>
      </c>
    </row>
    <row r="231" spans="1:11" x14ac:dyDescent="0.35">
      <c r="A231" s="1">
        <v>46235</v>
      </c>
      <c r="B231" t="s">
        <v>416</v>
      </c>
      <c r="C231">
        <v>5635</v>
      </c>
      <c r="D231" t="s">
        <v>276</v>
      </c>
      <c r="E231" t="s">
        <v>15</v>
      </c>
      <c r="F231">
        <v>72261.48</v>
      </c>
      <c r="G231" t="s">
        <v>65</v>
      </c>
      <c r="H231" s="2">
        <v>46282</v>
      </c>
      <c r="I231" s="1">
        <v>46372</v>
      </c>
      <c r="K231" t="s">
        <v>34</v>
      </c>
    </row>
    <row r="232" spans="1:11" x14ac:dyDescent="0.35">
      <c r="A232" s="1">
        <v>46235</v>
      </c>
      <c r="B232" t="s">
        <v>417</v>
      </c>
      <c r="C232">
        <v>4895</v>
      </c>
      <c r="D232" t="s">
        <v>393</v>
      </c>
      <c r="E232" t="s">
        <v>15</v>
      </c>
      <c r="F232">
        <v>41</v>
      </c>
      <c r="G232" t="s">
        <v>31</v>
      </c>
      <c r="H232" s="2">
        <v>46282</v>
      </c>
      <c r="I232" s="1">
        <v>46372</v>
      </c>
      <c r="K232" t="s">
        <v>33</v>
      </c>
    </row>
    <row r="233" spans="1:11" x14ac:dyDescent="0.35">
      <c r="A233" s="1">
        <v>46235</v>
      </c>
      <c r="B233" t="s">
        <v>418</v>
      </c>
      <c r="C233">
        <v>2517</v>
      </c>
      <c r="D233" t="s">
        <v>419</v>
      </c>
      <c r="E233" t="s">
        <v>15</v>
      </c>
      <c r="F233">
        <v>30.04</v>
      </c>
      <c r="G233" t="s">
        <v>106</v>
      </c>
      <c r="H233" s="2">
        <v>46282</v>
      </c>
      <c r="I233" s="1">
        <v>46372</v>
      </c>
      <c r="K233" t="s">
        <v>33</v>
      </c>
    </row>
    <row r="234" spans="1:11" x14ac:dyDescent="0.35">
      <c r="A234" s="1">
        <v>46235</v>
      </c>
      <c r="B234" t="s">
        <v>420</v>
      </c>
      <c r="C234">
        <v>4475</v>
      </c>
      <c r="D234" t="s">
        <v>421</v>
      </c>
      <c r="E234" t="s">
        <v>15</v>
      </c>
      <c r="F234">
        <v>493.24</v>
      </c>
      <c r="G234" t="s">
        <v>37</v>
      </c>
      <c r="H234" s="2">
        <v>46282</v>
      </c>
      <c r="I234" s="1">
        <v>46372</v>
      </c>
      <c r="K234" t="s">
        <v>34</v>
      </c>
    </row>
    <row r="235" spans="1:11" x14ac:dyDescent="0.35">
      <c r="A235" s="1">
        <v>46235</v>
      </c>
      <c r="B235" t="s">
        <v>422</v>
      </c>
      <c r="C235">
        <v>261</v>
      </c>
      <c r="D235" t="s">
        <v>304</v>
      </c>
      <c r="E235" t="s">
        <v>15</v>
      </c>
      <c r="F235">
        <v>350</v>
      </c>
      <c r="G235" t="s">
        <v>37</v>
      </c>
      <c r="H235" s="2">
        <v>46282</v>
      </c>
      <c r="I235" s="1">
        <v>46372</v>
      </c>
      <c r="K235" t="s">
        <v>34</v>
      </c>
    </row>
    <row r="236" spans="1:11" x14ac:dyDescent="0.35">
      <c r="A236" s="1">
        <v>46235</v>
      </c>
      <c r="B236" t="s">
        <v>423</v>
      </c>
      <c r="C236">
        <v>4665</v>
      </c>
      <c r="D236" t="s">
        <v>424</v>
      </c>
      <c r="E236" t="s">
        <v>15</v>
      </c>
      <c r="F236">
        <v>1997.8</v>
      </c>
      <c r="G236" t="s">
        <v>81</v>
      </c>
      <c r="H236" s="2">
        <v>46282</v>
      </c>
      <c r="I236" s="1">
        <v>46372</v>
      </c>
      <c r="K236" t="s">
        <v>34</v>
      </c>
    </row>
    <row r="237" spans="1:11" x14ac:dyDescent="0.35">
      <c r="A237" s="1">
        <v>46235</v>
      </c>
      <c r="B237" t="s">
        <v>425</v>
      </c>
      <c r="C237">
        <v>6038</v>
      </c>
      <c r="D237" t="s">
        <v>137</v>
      </c>
      <c r="E237" t="s">
        <v>15</v>
      </c>
      <c r="F237">
        <v>852.96</v>
      </c>
      <c r="G237" t="s">
        <v>37</v>
      </c>
      <c r="H237" s="2">
        <v>46282</v>
      </c>
      <c r="I237" s="1">
        <v>46372</v>
      </c>
      <c r="K237" t="s">
        <v>34</v>
      </c>
    </row>
    <row r="238" spans="1:11" x14ac:dyDescent="0.35">
      <c r="A238" s="1">
        <v>46235</v>
      </c>
      <c r="B238" t="s">
        <v>426</v>
      </c>
      <c r="C238">
        <v>128</v>
      </c>
      <c r="D238" t="s">
        <v>134</v>
      </c>
      <c r="E238" t="s">
        <v>15</v>
      </c>
      <c r="F238">
        <v>1132.75</v>
      </c>
      <c r="G238" t="s">
        <v>31</v>
      </c>
      <c r="H238" s="2">
        <v>46282</v>
      </c>
      <c r="I238" s="1">
        <v>46372</v>
      </c>
      <c r="K238" t="s">
        <v>34</v>
      </c>
    </row>
    <row r="239" spans="1:11" x14ac:dyDescent="0.35">
      <c r="A239" s="1">
        <v>46235</v>
      </c>
      <c r="B239" t="s">
        <v>427</v>
      </c>
      <c r="C239">
        <v>1042</v>
      </c>
      <c r="D239" t="s">
        <v>131</v>
      </c>
      <c r="E239" t="s">
        <v>15</v>
      </c>
      <c r="F239">
        <v>106</v>
      </c>
      <c r="G239" t="s">
        <v>70</v>
      </c>
      <c r="H239" s="2">
        <v>46282</v>
      </c>
      <c r="I239" s="1">
        <v>46372</v>
      </c>
      <c r="K239" t="s">
        <v>33</v>
      </c>
    </row>
    <row r="240" spans="1:11" x14ac:dyDescent="0.35">
      <c r="A240" s="1">
        <v>46235</v>
      </c>
      <c r="B240" t="s">
        <v>428</v>
      </c>
      <c r="C240">
        <v>5781</v>
      </c>
      <c r="D240" t="s">
        <v>349</v>
      </c>
      <c r="E240" t="s">
        <v>15</v>
      </c>
      <c r="F240">
        <v>216.3</v>
      </c>
      <c r="G240" t="s">
        <v>31</v>
      </c>
      <c r="H240" s="2">
        <v>46282</v>
      </c>
      <c r="I240" s="1">
        <v>46372</v>
      </c>
      <c r="K240" t="s">
        <v>33</v>
      </c>
    </row>
    <row r="241" spans="1:11" x14ac:dyDescent="0.35">
      <c r="A241" s="1">
        <v>46235</v>
      </c>
      <c r="B241" t="s">
        <v>429</v>
      </c>
      <c r="C241">
        <v>2667</v>
      </c>
      <c r="D241" t="s">
        <v>113</v>
      </c>
      <c r="E241" t="s">
        <v>15</v>
      </c>
      <c r="F241">
        <v>1115.5</v>
      </c>
      <c r="G241" t="s">
        <v>31</v>
      </c>
      <c r="H241" s="2">
        <v>46282</v>
      </c>
      <c r="I241" s="1">
        <v>46372</v>
      </c>
      <c r="K241" t="s">
        <v>34</v>
      </c>
    </row>
    <row r="242" spans="1:11" x14ac:dyDescent="0.35">
      <c r="A242" s="1">
        <v>46235</v>
      </c>
      <c r="B242" t="s">
        <v>430</v>
      </c>
      <c r="C242">
        <v>190</v>
      </c>
      <c r="D242" t="s">
        <v>110</v>
      </c>
      <c r="E242" t="s">
        <v>15</v>
      </c>
      <c r="F242">
        <v>637.92999999999995</v>
      </c>
      <c r="G242" t="s">
        <v>70</v>
      </c>
      <c r="H242" s="2">
        <v>46282</v>
      </c>
      <c r="I242" s="1">
        <v>46372</v>
      </c>
      <c r="K242" t="s">
        <v>34</v>
      </c>
    </row>
    <row r="243" spans="1:11" x14ac:dyDescent="0.35">
      <c r="A243" s="1">
        <v>46235</v>
      </c>
      <c r="B243" t="s">
        <v>431</v>
      </c>
      <c r="C243">
        <v>2434</v>
      </c>
      <c r="D243" t="s">
        <v>108</v>
      </c>
      <c r="E243" t="s">
        <v>15</v>
      </c>
      <c r="F243">
        <v>2379.1799999999998</v>
      </c>
      <c r="G243" t="s">
        <v>81</v>
      </c>
      <c r="H243" s="2">
        <v>46282</v>
      </c>
      <c r="I243" s="1">
        <v>46372</v>
      </c>
      <c r="K243" t="s">
        <v>34</v>
      </c>
    </row>
    <row r="244" spans="1:11" x14ac:dyDescent="0.35">
      <c r="A244" s="1">
        <v>46235</v>
      </c>
      <c r="B244" t="s">
        <v>432</v>
      </c>
      <c r="C244">
        <v>166</v>
      </c>
      <c r="D244" t="s">
        <v>99</v>
      </c>
      <c r="E244" t="s">
        <v>15</v>
      </c>
      <c r="F244">
        <v>1512.35</v>
      </c>
      <c r="G244" t="s">
        <v>37</v>
      </c>
      <c r="H244" s="2">
        <v>46282</v>
      </c>
      <c r="I244" s="1">
        <v>46372</v>
      </c>
      <c r="K244" t="s">
        <v>34</v>
      </c>
    </row>
    <row r="245" spans="1:11" x14ac:dyDescent="0.35">
      <c r="A245" s="1">
        <v>46235</v>
      </c>
      <c r="B245" t="s">
        <v>433</v>
      </c>
      <c r="C245">
        <v>163</v>
      </c>
      <c r="D245" t="s">
        <v>96</v>
      </c>
      <c r="E245" t="s">
        <v>15</v>
      </c>
      <c r="F245">
        <v>1169.8599999999999</v>
      </c>
      <c r="G245" t="s">
        <v>43</v>
      </c>
      <c r="H245" s="2">
        <v>46282</v>
      </c>
      <c r="I245" s="1">
        <v>46372</v>
      </c>
      <c r="K245" t="s">
        <v>34</v>
      </c>
    </row>
    <row r="246" spans="1:11" x14ac:dyDescent="0.35">
      <c r="A246" s="1">
        <v>46235</v>
      </c>
      <c r="B246" t="s">
        <v>434</v>
      </c>
      <c r="C246">
        <v>5790</v>
      </c>
      <c r="D246" t="s">
        <v>83</v>
      </c>
      <c r="E246" t="s">
        <v>15</v>
      </c>
      <c r="F246">
        <v>15120</v>
      </c>
      <c r="G246" t="s">
        <v>43</v>
      </c>
      <c r="H246" s="2">
        <v>46282</v>
      </c>
      <c r="I246" s="1">
        <v>46372</v>
      </c>
      <c r="K246" t="s">
        <v>34</v>
      </c>
    </row>
    <row r="247" spans="1:11" x14ac:dyDescent="0.35">
      <c r="A247" s="1">
        <v>46235</v>
      </c>
      <c r="B247" t="s">
        <v>435</v>
      </c>
      <c r="C247">
        <v>1602</v>
      </c>
      <c r="D247" t="s">
        <v>59</v>
      </c>
      <c r="E247" t="s">
        <v>15</v>
      </c>
      <c r="F247">
        <v>80324.97</v>
      </c>
      <c r="G247" t="s">
        <v>60</v>
      </c>
      <c r="H247" s="2">
        <v>46282</v>
      </c>
      <c r="I247" s="1">
        <v>46372</v>
      </c>
      <c r="K247" t="s">
        <v>34</v>
      </c>
    </row>
    <row r="248" spans="1:11" x14ac:dyDescent="0.35">
      <c r="A248" s="1">
        <v>46235</v>
      </c>
      <c r="B248" t="s">
        <v>436</v>
      </c>
      <c r="C248">
        <v>4079</v>
      </c>
      <c r="D248" t="s">
        <v>54</v>
      </c>
      <c r="E248" t="s">
        <v>15</v>
      </c>
      <c r="F248">
        <v>150.21</v>
      </c>
      <c r="G248" t="s">
        <v>37</v>
      </c>
      <c r="H248" s="2">
        <v>46282</v>
      </c>
      <c r="I248" s="1">
        <v>46372</v>
      </c>
      <c r="K248" t="s">
        <v>33</v>
      </c>
    </row>
    <row r="249" spans="1:11" x14ac:dyDescent="0.35">
      <c r="A249" s="1">
        <v>46235</v>
      </c>
      <c r="B249" t="s">
        <v>437</v>
      </c>
      <c r="C249">
        <v>5841</v>
      </c>
      <c r="D249" t="s">
        <v>358</v>
      </c>
      <c r="E249" t="s">
        <v>15</v>
      </c>
      <c r="F249">
        <v>184.52</v>
      </c>
      <c r="G249" t="s">
        <v>37</v>
      </c>
      <c r="H249" s="2">
        <v>46282</v>
      </c>
      <c r="I249" s="1">
        <v>46372</v>
      </c>
      <c r="K249" t="s">
        <v>33</v>
      </c>
    </row>
    <row r="250" spans="1:11" x14ac:dyDescent="0.35">
      <c r="A250" s="1">
        <v>46235</v>
      </c>
      <c r="B250" t="s">
        <v>438</v>
      </c>
      <c r="C250">
        <v>2344</v>
      </c>
      <c r="D250" t="s">
        <v>51</v>
      </c>
      <c r="E250" t="s">
        <v>15</v>
      </c>
      <c r="F250">
        <v>1820.3</v>
      </c>
      <c r="G250" t="s">
        <v>52</v>
      </c>
      <c r="H250" s="2">
        <v>46282</v>
      </c>
      <c r="I250" s="1">
        <v>46372</v>
      </c>
      <c r="K250" t="s">
        <v>34</v>
      </c>
    </row>
  </sheetData>
  <autoFilter ref="A1:O250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16A04-8962-48FC-8EE5-ADA598F43CD3}">
  <dimension ref="A1:T77"/>
  <sheetViews>
    <sheetView zoomScale="85" zoomScaleNormal="85" workbookViewId="0">
      <selection activeCell="M1" sqref="M1"/>
    </sheetView>
  </sheetViews>
  <sheetFormatPr baseColWidth="10" defaultRowHeight="14.5" x14ac:dyDescent="0.35"/>
  <cols>
    <col min="7" max="7" width="12.1796875" bestFit="1" customWidth="1"/>
    <col min="8" max="8" width="11.1796875" customWidth="1"/>
    <col min="9" max="10" width="12.1796875" bestFit="1" customWidth="1"/>
    <col min="11" max="11" width="10.6328125" bestFit="1" customWidth="1"/>
    <col min="12" max="12" width="7.26953125" bestFit="1" customWidth="1"/>
    <col min="13" max="13" width="8.36328125" bestFit="1" customWidth="1"/>
    <col min="14" max="14" width="8.90625" bestFit="1" customWidth="1"/>
    <col min="15" max="15" width="16.26953125" bestFit="1" customWidth="1"/>
    <col min="16" max="16" width="8" bestFit="1" customWidth="1"/>
    <col min="17" max="17" width="9.90625" bestFit="1" customWidth="1"/>
    <col min="18" max="18" width="113.08984375" bestFit="1" customWidth="1"/>
    <col min="20" max="20" width="13.54296875" bestFit="1" customWidth="1"/>
  </cols>
  <sheetData>
    <row r="1" spans="1:20" ht="65" x14ac:dyDescent="0.35">
      <c r="A1" s="3" t="s">
        <v>442</v>
      </c>
      <c r="B1" s="4" t="s">
        <v>443</v>
      </c>
      <c r="C1" s="3" t="s">
        <v>444</v>
      </c>
      <c r="D1" s="3" t="s">
        <v>445</v>
      </c>
      <c r="E1" s="3" t="s">
        <v>446</v>
      </c>
      <c r="F1" s="3" t="s">
        <v>447</v>
      </c>
      <c r="G1" s="3" t="s">
        <v>448</v>
      </c>
      <c r="H1" s="3" t="s">
        <v>449</v>
      </c>
      <c r="I1" s="3" t="s">
        <v>450</v>
      </c>
      <c r="J1" s="5" t="s">
        <v>451</v>
      </c>
      <c r="K1" s="6" t="s">
        <v>452</v>
      </c>
      <c r="L1" s="3" t="s">
        <v>453</v>
      </c>
      <c r="M1" s="3" t="s">
        <v>454</v>
      </c>
      <c r="N1" s="3" t="s">
        <v>455</v>
      </c>
      <c r="O1" s="4" t="s">
        <v>456</v>
      </c>
      <c r="P1" s="3" t="s">
        <v>457</v>
      </c>
      <c r="Q1" s="3" t="s">
        <v>458</v>
      </c>
      <c r="R1" s="3" t="s">
        <v>459</v>
      </c>
      <c r="S1" s="7" t="s">
        <v>460</v>
      </c>
      <c r="T1" s="8" t="s">
        <v>461</v>
      </c>
    </row>
    <row r="2" spans="1:20" ht="26" x14ac:dyDescent="0.35">
      <c r="A2" s="3">
        <v>7095</v>
      </c>
      <c r="B2" s="4">
        <v>45065</v>
      </c>
      <c r="C2" s="9" t="s">
        <v>462</v>
      </c>
      <c r="D2" s="3"/>
      <c r="E2" s="3"/>
      <c r="F2" s="3"/>
      <c r="G2" s="10">
        <v>36955</v>
      </c>
      <c r="H2" s="10">
        <v>5912.8</v>
      </c>
      <c r="I2" s="10">
        <v>42867.8</v>
      </c>
      <c r="J2" s="6">
        <f t="shared" ref="J2:J45" si="0">I2-K2</f>
        <v>5092.4000000000015</v>
      </c>
      <c r="K2" s="6">
        <v>37775.4</v>
      </c>
      <c r="L2" s="3" t="s">
        <v>463</v>
      </c>
      <c r="M2" s="11">
        <v>1</v>
      </c>
      <c r="N2" s="3" t="s">
        <v>464</v>
      </c>
      <c r="O2" s="4"/>
      <c r="P2" s="3" t="s">
        <v>465</v>
      </c>
      <c r="Q2" s="3" t="s">
        <v>466</v>
      </c>
      <c r="R2" s="9" t="s">
        <v>467</v>
      </c>
      <c r="S2" s="7"/>
      <c r="T2" s="8" t="s">
        <v>468</v>
      </c>
    </row>
    <row r="3" spans="1:20" x14ac:dyDescent="0.35">
      <c r="A3" s="3">
        <v>7324</v>
      </c>
      <c r="B3" s="4">
        <v>45265</v>
      </c>
      <c r="C3" s="9" t="s">
        <v>469</v>
      </c>
      <c r="D3" s="3"/>
      <c r="E3" s="3"/>
      <c r="F3" s="3"/>
      <c r="G3" s="10">
        <v>4391.76</v>
      </c>
      <c r="H3" s="10">
        <v>702.68</v>
      </c>
      <c r="I3" s="10">
        <v>5094.4399999999996</v>
      </c>
      <c r="J3" s="6">
        <f t="shared" si="0"/>
        <v>5094.4399999999996</v>
      </c>
      <c r="K3" s="6"/>
      <c r="L3" s="3" t="s">
        <v>463</v>
      </c>
      <c r="M3" s="11">
        <v>1</v>
      </c>
      <c r="N3" s="3" t="s">
        <v>464</v>
      </c>
      <c r="O3" s="4"/>
      <c r="P3" s="3" t="s">
        <v>465</v>
      </c>
      <c r="Q3" s="3" t="s">
        <v>470</v>
      </c>
      <c r="R3" s="9" t="s">
        <v>471</v>
      </c>
      <c r="S3" s="7" t="s">
        <v>472</v>
      </c>
      <c r="T3" s="8"/>
    </row>
    <row r="4" spans="1:20" x14ac:dyDescent="0.35">
      <c r="A4" s="3">
        <v>7656</v>
      </c>
      <c r="B4" s="4">
        <v>45558</v>
      </c>
      <c r="C4" s="9" t="s">
        <v>469</v>
      </c>
      <c r="D4" s="3"/>
      <c r="E4" s="3"/>
      <c r="F4" s="3"/>
      <c r="G4" s="10">
        <v>2225.0500000000002</v>
      </c>
      <c r="H4" s="10">
        <v>356.01</v>
      </c>
      <c r="I4" s="10">
        <v>2581.06</v>
      </c>
      <c r="J4" s="6">
        <f t="shared" si="0"/>
        <v>2581.06</v>
      </c>
      <c r="K4" s="6">
        <v>0</v>
      </c>
      <c r="L4" s="3" t="s">
        <v>463</v>
      </c>
      <c r="M4" s="11">
        <v>1</v>
      </c>
      <c r="N4" s="3" t="s">
        <v>464</v>
      </c>
      <c r="O4" s="4"/>
      <c r="P4" s="3" t="s">
        <v>465</v>
      </c>
      <c r="Q4" s="3" t="s">
        <v>470</v>
      </c>
      <c r="R4" s="9" t="s">
        <v>473</v>
      </c>
      <c r="S4" s="7" t="s">
        <v>472</v>
      </c>
      <c r="T4" s="8"/>
    </row>
    <row r="5" spans="1:20" x14ac:dyDescent="0.35">
      <c r="A5" s="3">
        <v>8119</v>
      </c>
      <c r="B5" s="4">
        <v>45985</v>
      </c>
      <c r="C5" s="9" t="s">
        <v>108</v>
      </c>
      <c r="D5" s="3"/>
      <c r="E5" s="3"/>
      <c r="F5" s="3"/>
      <c r="G5" s="10">
        <v>152750.34</v>
      </c>
      <c r="H5" s="10">
        <v>24440.03</v>
      </c>
      <c r="I5" s="10">
        <v>177190.37</v>
      </c>
      <c r="J5" s="6">
        <f t="shared" si="0"/>
        <v>112105.7</v>
      </c>
      <c r="K5" s="6">
        <v>65084.67</v>
      </c>
      <c r="L5" s="3" t="s">
        <v>463</v>
      </c>
      <c r="M5" s="11">
        <v>1</v>
      </c>
      <c r="N5" s="3" t="s">
        <v>464</v>
      </c>
      <c r="O5" s="4" t="s">
        <v>474</v>
      </c>
      <c r="P5" s="3" t="s">
        <v>465</v>
      </c>
      <c r="Q5" s="3" t="s">
        <v>475</v>
      </c>
      <c r="R5" s="9" t="s">
        <v>476</v>
      </c>
      <c r="S5" s="7" t="s">
        <v>472</v>
      </c>
      <c r="T5" s="8"/>
    </row>
    <row r="6" spans="1:20" x14ac:dyDescent="0.35">
      <c r="A6" s="3">
        <v>8133</v>
      </c>
      <c r="B6" s="4">
        <v>45995</v>
      </c>
      <c r="C6" s="9" t="s">
        <v>108</v>
      </c>
      <c r="D6" s="3"/>
      <c r="E6" s="3"/>
      <c r="F6" s="3"/>
      <c r="G6" s="10">
        <v>185691.88</v>
      </c>
      <c r="H6" s="10">
        <v>29710.69</v>
      </c>
      <c r="I6" s="10">
        <v>215402.57</v>
      </c>
      <c r="J6" s="6">
        <f t="shared" si="0"/>
        <v>189836.99</v>
      </c>
      <c r="K6" s="6">
        <v>25565.58</v>
      </c>
      <c r="L6" s="3" t="s">
        <v>463</v>
      </c>
      <c r="M6" s="11">
        <v>1</v>
      </c>
      <c r="N6" s="3" t="s">
        <v>464</v>
      </c>
      <c r="O6" s="4" t="s">
        <v>477</v>
      </c>
      <c r="P6" s="3" t="s">
        <v>465</v>
      </c>
      <c r="Q6" s="3" t="s">
        <v>475</v>
      </c>
      <c r="R6" s="9" t="s">
        <v>478</v>
      </c>
      <c r="S6" s="7" t="s">
        <v>472</v>
      </c>
      <c r="T6" s="8"/>
    </row>
    <row r="7" spans="1:20" x14ac:dyDescent="0.35">
      <c r="A7" s="12">
        <v>8173</v>
      </c>
      <c r="B7" s="13">
        <v>46029.552129629628</v>
      </c>
      <c r="C7" s="14" t="s">
        <v>479</v>
      </c>
      <c r="D7" s="3"/>
      <c r="E7" s="3"/>
      <c r="F7" s="3"/>
      <c r="G7" s="15">
        <v>116409.96</v>
      </c>
      <c r="H7" s="15">
        <v>18625.59</v>
      </c>
      <c r="I7" s="15">
        <v>135035.54999999999</v>
      </c>
      <c r="J7" s="15">
        <f t="shared" si="0"/>
        <v>135035.54999999999</v>
      </c>
      <c r="K7" s="16"/>
      <c r="L7" s="3" t="s">
        <v>480</v>
      </c>
      <c r="M7" s="11">
        <v>1</v>
      </c>
      <c r="N7" s="17" t="s">
        <v>464</v>
      </c>
      <c r="O7" s="4"/>
      <c r="P7" s="3" t="s">
        <v>465</v>
      </c>
      <c r="Q7" s="3" t="s">
        <v>481</v>
      </c>
      <c r="R7" s="9" t="s">
        <v>482</v>
      </c>
      <c r="S7" s="7" t="s">
        <v>472</v>
      </c>
      <c r="T7" s="8"/>
    </row>
    <row r="8" spans="1:20" x14ac:dyDescent="0.35">
      <c r="A8" s="12">
        <v>8202</v>
      </c>
      <c r="B8" s="13">
        <v>46048.640462962961</v>
      </c>
      <c r="C8" s="14" t="s">
        <v>108</v>
      </c>
      <c r="D8" s="3"/>
      <c r="E8" s="3"/>
      <c r="F8" s="3"/>
      <c r="G8" s="15">
        <v>20497.189999999999</v>
      </c>
      <c r="H8" s="15">
        <v>3279.55</v>
      </c>
      <c r="I8" s="15">
        <v>23776.74</v>
      </c>
      <c r="J8" s="15">
        <f t="shared" si="0"/>
        <v>186</v>
      </c>
      <c r="K8" s="16">
        <v>23590.74</v>
      </c>
      <c r="L8" s="3" t="s">
        <v>480</v>
      </c>
      <c r="M8" s="11">
        <v>1</v>
      </c>
      <c r="N8" s="17" t="s">
        <v>464</v>
      </c>
      <c r="O8" s="4">
        <v>46083</v>
      </c>
      <c r="P8" s="3" t="s">
        <v>465</v>
      </c>
      <c r="Q8" s="3" t="s">
        <v>475</v>
      </c>
      <c r="R8" s="9" t="s">
        <v>483</v>
      </c>
      <c r="S8" s="7"/>
      <c r="T8" s="8" t="s">
        <v>484</v>
      </c>
    </row>
    <row r="9" spans="1:20" x14ac:dyDescent="0.35">
      <c r="A9" s="12">
        <v>8212</v>
      </c>
      <c r="B9" s="13">
        <v>46062.5021180556</v>
      </c>
      <c r="C9" s="17" t="s">
        <v>485</v>
      </c>
      <c r="D9" s="3"/>
      <c r="E9" s="3"/>
      <c r="F9" s="3"/>
      <c r="G9" s="15">
        <v>3797.47</v>
      </c>
      <c r="H9" s="15">
        <v>607.58000000000004</v>
      </c>
      <c r="I9" s="15">
        <v>4405.05</v>
      </c>
      <c r="J9" s="15">
        <f t="shared" si="0"/>
        <v>2359.42</v>
      </c>
      <c r="K9" s="16">
        <v>2045.63</v>
      </c>
      <c r="L9" s="3" t="s">
        <v>480</v>
      </c>
      <c r="M9" s="11">
        <v>1</v>
      </c>
      <c r="N9" s="17" t="s">
        <v>464</v>
      </c>
      <c r="O9" s="4">
        <v>46086</v>
      </c>
      <c r="P9" s="3" t="s">
        <v>465</v>
      </c>
      <c r="Q9" s="3" t="s">
        <v>475</v>
      </c>
      <c r="R9" s="9" t="s">
        <v>486</v>
      </c>
      <c r="S9" s="7"/>
      <c r="T9" s="8" t="s">
        <v>484</v>
      </c>
    </row>
    <row r="10" spans="1:20" x14ac:dyDescent="0.35">
      <c r="A10" s="12">
        <v>8215</v>
      </c>
      <c r="B10" s="13">
        <v>46064.4128009259</v>
      </c>
      <c r="C10" s="17" t="s">
        <v>14</v>
      </c>
      <c r="D10" s="3"/>
      <c r="E10" s="3"/>
      <c r="F10" s="3"/>
      <c r="G10" s="15">
        <v>11728.98</v>
      </c>
      <c r="H10" s="15">
        <v>1876.61</v>
      </c>
      <c r="I10" s="15">
        <v>13605.59</v>
      </c>
      <c r="J10" s="15">
        <f t="shared" si="0"/>
        <v>6606.83</v>
      </c>
      <c r="K10" s="16">
        <v>6998.76</v>
      </c>
      <c r="L10" s="3" t="s">
        <v>480</v>
      </c>
      <c r="M10" s="11">
        <v>1</v>
      </c>
      <c r="N10" s="17" t="s">
        <v>464</v>
      </c>
      <c r="O10" s="4">
        <v>46122</v>
      </c>
      <c r="P10" s="3" t="s">
        <v>465</v>
      </c>
      <c r="Q10" s="3" t="s">
        <v>470</v>
      </c>
      <c r="R10" s="9" t="s">
        <v>487</v>
      </c>
      <c r="S10" s="7" t="s">
        <v>472</v>
      </c>
      <c r="T10" s="8"/>
    </row>
    <row r="11" spans="1:20" x14ac:dyDescent="0.35">
      <c r="A11" s="12">
        <v>8242</v>
      </c>
      <c r="B11" s="13">
        <v>46085.6652777778</v>
      </c>
      <c r="C11" s="14" t="s">
        <v>90</v>
      </c>
      <c r="D11" s="3"/>
      <c r="E11" s="3"/>
      <c r="F11" s="3"/>
      <c r="G11" s="15">
        <v>31754.43</v>
      </c>
      <c r="H11" s="15">
        <v>5080.7</v>
      </c>
      <c r="I11" s="15">
        <v>36835.129999999997</v>
      </c>
      <c r="J11" s="15">
        <f t="shared" si="0"/>
        <v>2116.8600000000006</v>
      </c>
      <c r="K11" s="16">
        <v>34718.269999999997</v>
      </c>
      <c r="L11" s="3" t="s">
        <v>480</v>
      </c>
      <c r="M11" s="11">
        <v>1</v>
      </c>
      <c r="N11" s="17" t="s">
        <v>464</v>
      </c>
      <c r="O11" s="4">
        <v>46142</v>
      </c>
      <c r="P11" s="3" t="s">
        <v>488</v>
      </c>
      <c r="Q11" s="3" t="s">
        <v>310</v>
      </c>
      <c r="R11" s="9" t="s">
        <v>489</v>
      </c>
      <c r="S11" s="7" t="s">
        <v>472</v>
      </c>
      <c r="T11" s="8"/>
    </row>
    <row r="12" spans="1:20" ht="26" x14ac:dyDescent="0.35">
      <c r="A12" s="12">
        <v>8262</v>
      </c>
      <c r="B12" s="13">
        <v>46101.712812500002</v>
      </c>
      <c r="C12" s="14" t="s">
        <v>51</v>
      </c>
      <c r="D12" s="3"/>
      <c r="E12" s="3"/>
      <c r="F12" s="3"/>
      <c r="G12" s="15">
        <v>11453.3</v>
      </c>
      <c r="H12" s="15">
        <v>1832.53</v>
      </c>
      <c r="I12" s="15">
        <v>13285.83</v>
      </c>
      <c r="J12" s="15">
        <f t="shared" si="0"/>
        <v>13285.83</v>
      </c>
      <c r="K12" s="16"/>
      <c r="L12" s="3" t="s">
        <v>480</v>
      </c>
      <c r="M12" s="11">
        <v>1</v>
      </c>
      <c r="N12" s="17" t="s">
        <v>464</v>
      </c>
      <c r="O12" s="4"/>
      <c r="P12" s="3" t="s">
        <v>488</v>
      </c>
      <c r="Q12" s="3" t="s">
        <v>481</v>
      </c>
      <c r="R12" s="9" t="s">
        <v>464</v>
      </c>
      <c r="S12" s="7"/>
      <c r="T12" s="8" t="s">
        <v>490</v>
      </c>
    </row>
    <row r="13" spans="1:20" x14ac:dyDescent="0.35">
      <c r="A13" s="12">
        <v>8278</v>
      </c>
      <c r="B13" s="13">
        <v>46128.6661805556</v>
      </c>
      <c r="C13" s="17" t="s">
        <v>148</v>
      </c>
      <c r="D13" s="3"/>
      <c r="E13" s="3"/>
      <c r="F13" s="3"/>
      <c r="G13" s="15">
        <v>12395.22</v>
      </c>
      <c r="H13" s="15">
        <v>1983.23</v>
      </c>
      <c r="I13" s="15">
        <v>14378.45</v>
      </c>
      <c r="J13" s="15">
        <f t="shared" si="0"/>
        <v>192.29000000000087</v>
      </c>
      <c r="K13" s="16">
        <v>14186.16</v>
      </c>
      <c r="L13" s="3" t="s">
        <v>480</v>
      </c>
      <c r="M13" s="11">
        <v>1</v>
      </c>
      <c r="N13" s="17" t="s">
        <v>464</v>
      </c>
      <c r="O13" s="4">
        <v>46197</v>
      </c>
      <c r="P13" s="3" t="s">
        <v>488</v>
      </c>
      <c r="Q13" s="3" t="s">
        <v>491</v>
      </c>
      <c r="R13" s="9" t="s">
        <v>492</v>
      </c>
      <c r="S13" s="7" t="s">
        <v>472</v>
      </c>
      <c r="T13" s="8"/>
    </row>
    <row r="14" spans="1:20" x14ac:dyDescent="0.35">
      <c r="A14" s="12">
        <v>8312</v>
      </c>
      <c r="B14" s="13">
        <v>46161.372465277796</v>
      </c>
      <c r="C14" s="17" t="s">
        <v>199</v>
      </c>
      <c r="D14" s="3"/>
      <c r="E14" s="3"/>
      <c r="F14" s="3"/>
      <c r="G14" s="15">
        <v>2820.13</v>
      </c>
      <c r="H14" s="15">
        <v>451.22</v>
      </c>
      <c r="I14" s="15">
        <v>3271.35</v>
      </c>
      <c r="J14" s="15">
        <f t="shared" si="0"/>
        <v>3271.35</v>
      </c>
      <c r="K14" s="16"/>
      <c r="L14" s="3" t="s">
        <v>480</v>
      </c>
      <c r="M14" s="11">
        <v>1</v>
      </c>
      <c r="N14" s="17" t="s">
        <v>464</v>
      </c>
      <c r="O14" s="4"/>
      <c r="P14" s="3" t="s">
        <v>488</v>
      </c>
      <c r="Q14" s="3" t="s">
        <v>493</v>
      </c>
      <c r="R14" s="9" t="s">
        <v>494</v>
      </c>
      <c r="S14" s="7"/>
      <c r="T14" s="8"/>
    </row>
    <row r="15" spans="1:20" ht="26" x14ac:dyDescent="0.35">
      <c r="A15" s="12">
        <v>8318</v>
      </c>
      <c r="B15" s="13">
        <v>46168.517777777801</v>
      </c>
      <c r="C15" s="17" t="s">
        <v>485</v>
      </c>
      <c r="D15" s="3"/>
      <c r="E15" s="3"/>
      <c r="F15" s="3"/>
      <c r="G15" s="15">
        <v>5859.87</v>
      </c>
      <c r="H15" s="15">
        <v>937.58</v>
      </c>
      <c r="I15" s="15">
        <v>6797.45</v>
      </c>
      <c r="J15" s="15">
        <f t="shared" si="0"/>
        <v>6321.19</v>
      </c>
      <c r="K15" s="16">
        <v>476.26</v>
      </c>
      <c r="L15" s="3" t="s">
        <v>480</v>
      </c>
      <c r="M15" s="11">
        <v>1</v>
      </c>
      <c r="N15" s="17" t="s">
        <v>464</v>
      </c>
      <c r="O15" s="4">
        <v>46209</v>
      </c>
      <c r="P15" s="3" t="s">
        <v>465</v>
      </c>
      <c r="Q15" s="3" t="s">
        <v>495</v>
      </c>
      <c r="R15" s="9" t="s">
        <v>496</v>
      </c>
      <c r="S15" s="7"/>
      <c r="T15" s="8" t="s">
        <v>490</v>
      </c>
    </row>
    <row r="16" spans="1:20" x14ac:dyDescent="0.35">
      <c r="A16" s="12">
        <v>8325</v>
      </c>
      <c r="B16" s="13">
        <v>46183.692905092597</v>
      </c>
      <c r="C16" s="17" t="s">
        <v>21</v>
      </c>
      <c r="D16" s="3"/>
      <c r="E16" s="3"/>
      <c r="F16" s="3"/>
      <c r="G16" s="15">
        <v>18844.490000000002</v>
      </c>
      <c r="H16" s="15">
        <v>3015.12</v>
      </c>
      <c r="I16" s="15">
        <v>21859.61</v>
      </c>
      <c r="J16" s="18">
        <f t="shared" si="0"/>
        <v>0</v>
      </c>
      <c r="K16" s="16">
        <v>21859.61</v>
      </c>
      <c r="L16" s="3" t="s">
        <v>480</v>
      </c>
      <c r="M16" s="11">
        <v>1</v>
      </c>
      <c r="N16" s="17" t="s">
        <v>464</v>
      </c>
      <c r="O16" s="19">
        <v>46266</v>
      </c>
      <c r="P16" s="3" t="s">
        <v>488</v>
      </c>
      <c r="Q16" s="3" t="s">
        <v>310</v>
      </c>
      <c r="R16" s="9" t="s">
        <v>497</v>
      </c>
      <c r="S16" s="7" t="s">
        <v>472</v>
      </c>
      <c r="T16" s="8"/>
    </row>
    <row r="17" spans="1:20" x14ac:dyDescent="0.35">
      <c r="A17" s="12">
        <v>8341</v>
      </c>
      <c r="B17" s="13">
        <v>46195.356759259303</v>
      </c>
      <c r="C17" s="14" t="s">
        <v>96</v>
      </c>
      <c r="D17" s="3"/>
      <c r="E17" s="3"/>
      <c r="F17" s="3"/>
      <c r="G17" s="15">
        <v>46317.07</v>
      </c>
      <c r="H17" s="15">
        <v>7410.73</v>
      </c>
      <c r="I17" s="15">
        <v>53727.8</v>
      </c>
      <c r="J17" s="15">
        <f t="shared" si="0"/>
        <v>53727.8</v>
      </c>
      <c r="K17" s="16"/>
      <c r="L17" s="3" t="s">
        <v>480</v>
      </c>
      <c r="M17" s="11">
        <v>1</v>
      </c>
      <c r="N17" s="17" t="s">
        <v>464</v>
      </c>
      <c r="O17" s="4"/>
      <c r="P17" s="3" t="s">
        <v>488</v>
      </c>
      <c r="Q17" s="3" t="s">
        <v>491</v>
      </c>
      <c r="R17" s="9" t="s">
        <v>498</v>
      </c>
      <c r="S17" s="7" t="s">
        <v>499</v>
      </c>
      <c r="T17" s="8"/>
    </row>
    <row r="18" spans="1:20" x14ac:dyDescent="0.35">
      <c r="A18" s="12">
        <v>8342</v>
      </c>
      <c r="B18" s="13">
        <v>46195.363680555602</v>
      </c>
      <c r="C18" s="17" t="s">
        <v>500</v>
      </c>
      <c r="D18" s="3"/>
      <c r="E18" s="3"/>
      <c r="F18" s="3"/>
      <c r="G18" s="15">
        <v>2290</v>
      </c>
      <c r="H18" s="15">
        <v>0</v>
      </c>
      <c r="I18" s="15">
        <v>2290</v>
      </c>
      <c r="J18" s="15">
        <f t="shared" si="0"/>
        <v>2290</v>
      </c>
      <c r="K18" s="16"/>
      <c r="L18" s="3" t="s">
        <v>480</v>
      </c>
      <c r="M18" s="11">
        <v>1</v>
      </c>
      <c r="N18" s="17" t="s">
        <v>464</v>
      </c>
      <c r="O18" s="4"/>
      <c r="P18" s="3" t="s">
        <v>465</v>
      </c>
      <c r="Q18" s="3" t="s">
        <v>470</v>
      </c>
      <c r="R18" s="9" t="s">
        <v>501</v>
      </c>
      <c r="S18" s="7"/>
      <c r="T18" s="8"/>
    </row>
    <row r="19" spans="1:20" x14ac:dyDescent="0.35">
      <c r="A19" s="12">
        <v>8345</v>
      </c>
      <c r="B19" s="13">
        <v>46197.668796296297</v>
      </c>
      <c r="C19" s="17" t="s">
        <v>121</v>
      </c>
      <c r="D19" s="3"/>
      <c r="E19" s="3"/>
      <c r="F19" s="3"/>
      <c r="G19" s="15">
        <v>5836.08</v>
      </c>
      <c r="H19" s="15">
        <v>933.77</v>
      </c>
      <c r="I19" s="15">
        <v>6769.85</v>
      </c>
      <c r="J19" s="15">
        <f t="shared" si="0"/>
        <v>6769.85</v>
      </c>
      <c r="K19" s="16"/>
      <c r="L19" s="3" t="s">
        <v>480</v>
      </c>
      <c r="M19" s="11">
        <v>1</v>
      </c>
      <c r="N19" s="17" t="s">
        <v>464</v>
      </c>
      <c r="O19" s="4"/>
      <c r="P19" s="3" t="s">
        <v>488</v>
      </c>
      <c r="Q19" s="3"/>
      <c r="R19" s="9" t="s">
        <v>502</v>
      </c>
      <c r="S19" s="7"/>
      <c r="T19" s="8"/>
    </row>
    <row r="20" spans="1:20" x14ac:dyDescent="0.35">
      <c r="A20" s="12">
        <v>8351</v>
      </c>
      <c r="B20" s="13">
        <v>46204.504201388903</v>
      </c>
      <c r="C20" s="17" t="s">
        <v>503</v>
      </c>
      <c r="D20" s="3"/>
      <c r="E20" s="3"/>
      <c r="F20" s="3"/>
      <c r="G20" s="15">
        <v>51975</v>
      </c>
      <c r="H20" s="15">
        <v>8316</v>
      </c>
      <c r="I20" s="15">
        <v>60291</v>
      </c>
      <c r="J20" s="15">
        <f t="shared" si="0"/>
        <v>60291</v>
      </c>
      <c r="K20" s="16"/>
      <c r="L20" s="3" t="s">
        <v>480</v>
      </c>
      <c r="M20" s="11">
        <v>1</v>
      </c>
      <c r="N20" s="17" t="s">
        <v>464</v>
      </c>
      <c r="O20" s="4"/>
      <c r="P20" s="3" t="s">
        <v>465</v>
      </c>
      <c r="Q20" s="3" t="s">
        <v>504</v>
      </c>
      <c r="R20" s="9" t="s">
        <v>505</v>
      </c>
      <c r="S20" s="7"/>
      <c r="T20" s="8" t="s">
        <v>484</v>
      </c>
    </row>
    <row r="21" spans="1:20" x14ac:dyDescent="0.35">
      <c r="A21" s="12">
        <v>8352</v>
      </c>
      <c r="B21" s="13">
        <v>46205.552662037</v>
      </c>
      <c r="C21" s="17" t="s">
        <v>148</v>
      </c>
      <c r="D21" s="3"/>
      <c r="E21" s="3"/>
      <c r="F21" s="3"/>
      <c r="G21" s="15">
        <v>12330.27</v>
      </c>
      <c r="H21" s="15">
        <v>1972.85</v>
      </c>
      <c r="I21" s="15">
        <v>14303.12</v>
      </c>
      <c r="J21" s="15">
        <f t="shared" si="0"/>
        <v>14303.12</v>
      </c>
      <c r="K21" s="16"/>
      <c r="L21" s="3" t="s">
        <v>480</v>
      </c>
      <c r="M21" s="11">
        <v>1</v>
      </c>
      <c r="N21" s="17" t="s">
        <v>464</v>
      </c>
      <c r="O21" s="4"/>
      <c r="P21" s="3" t="s">
        <v>488</v>
      </c>
      <c r="Q21" s="3" t="s">
        <v>491</v>
      </c>
      <c r="R21" s="9" t="s">
        <v>464</v>
      </c>
      <c r="S21" s="7" t="s">
        <v>472</v>
      </c>
      <c r="T21" s="8"/>
    </row>
    <row r="22" spans="1:20" x14ac:dyDescent="0.35">
      <c r="A22" s="12">
        <v>8354</v>
      </c>
      <c r="B22" s="13">
        <v>46209.676597222198</v>
      </c>
      <c r="C22" s="17" t="s">
        <v>87</v>
      </c>
      <c r="D22" s="3"/>
      <c r="E22" s="3"/>
      <c r="F22" s="3"/>
      <c r="G22" s="15">
        <v>564.62</v>
      </c>
      <c r="H22" s="15">
        <v>90.34</v>
      </c>
      <c r="I22" s="15">
        <v>654.96</v>
      </c>
      <c r="J22" s="15">
        <f t="shared" si="0"/>
        <v>654.96</v>
      </c>
      <c r="K22" s="16"/>
      <c r="L22" s="3" t="s">
        <v>480</v>
      </c>
      <c r="M22" s="11">
        <v>1</v>
      </c>
      <c r="N22" s="17" t="s">
        <v>464</v>
      </c>
      <c r="O22" s="4"/>
      <c r="P22" s="3" t="s">
        <v>488</v>
      </c>
      <c r="Q22" s="3"/>
      <c r="R22" s="9" t="s">
        <v>464</v>
      </c>
      <c r="S22" s="7" t="s">
        <v>472</v>
      </c>
      <c r="T22" s="8"/>
    </row>
    <row r="23" spans="1:20" x14ac:dyDescent="0.35">
      <c r="A23" s="12">
        <v>8356</v>
      </c>
      <c r="B23" s="13">
        <v>46210.516759259299</v>
      </c>
      <c r="C23" s="17" t="s">
        <v>148</v>
      </c>
      <c r="D23" s="3"/>
      <c r="E23" s="3"/>
      <c r="F23" s="3"/>
      <c r="G23" s="15">
        <v>7826.81</v>
      </c>
      <c r="H23" s="15">
        <v>1252.29</v>
      </c>
      <c r="I23" s="15">
        <v>9079.1</v>
      </c>
      <c r="J23" s="15">
        <f t="shared" si="0"/>
        <v>9079.1</v>
      </c>
      <c r="K23" s="16"/>
      <c r="L23" s="3" t="s">
        <v>480</v>
      </c>
      <c r="M23" s="11">
        <v>1</v>
      </c>
      <c r="N23" s="17" t="s">
        <v>464</v>
      </c>
      <c r="O23" s="4"/>
      <c r="P23" s="3" t="s">
        <v>488</v>
      </c>
      <c r="Q23" s="3" t="s">
        <v>491</v>
      </c>
      <c r="R23" s="9" t="s">
        <v>464</v>
      </c>
      <c r="S23" s="7"/>
      <c r="T23" s="8" t="s">
        <v>506</v>
      </c>
    </row>
    <row r="24" spans="1:20" x14ac:dyDescent="0.35">
      <c r="A24" s="12">
        <v>8360</v>
      </c>
      <c r="B24" s="13">
        <v>46211.732465277797</v>
      </c>
      <c r="C24" s="17" t="s">
        <v>352</v>
      </c>
      <c r="D24" s="3"/>
      <c r="E24" s="3"/>
      <c r="F24" s="3"/>
      <c r="G24" s="15">
        <v>1149.82</v>
      </c>
      <c r="H24" s="15">
        <v>183.97</v>
      </c>
      <c r="I24" s="15">
        <v>1333.79</v>
      </c>
      <c r="J24" s="15">
        <f t="shared" si="0"/>
        <v>1333.79</v>
      </c>
      <c r="K24" s="16"/>
      <c r="L24" s="3" t="s">
        <v>480</v>
      </c>
      <c r="M24" s="11">
        <v>1</v>
      </c>
      <c r="N24" s="17" t="s">
        <v>464</v>
      </c>
      <c r="O24" s="4"/>
      <c r="P24" s="3" t="s">
        <v>488</v>
      </c>
      <c r="Q24" s="3"/>
      <c r="R24" s="9" t="s">
        <v>464</v>
      </c>
      <c r="S24" s="7" t="s">
        <v>472</v>
      </c>
      <c r="T24" s="8"/>
    </row>
    <row r="25" spans="1:20" x14ac:dyDescent="0.35">
      <c r="A25" s="12">
        <v>8366</v>
      </c>
      <c r="B25" s="13">
        <v>46217.368425925903</v>
      </c>
      <c r="C25" s="17" t="s">
        <v>134</v>
      </c>
      <c r="D25" s="3"/>
      <c r="E25" s="3"/>
      <c r="F25" s="3"/>
      <c r="G25" s="15">
        <v>3622.46</v>
      </c>
      <c r="H25" s="15">
        <v>579.59</v>
      </c>
      <c r="I25" s="15">
        <v>4202.05</v>
      </c>
      <c r="J25" s="15">
        <f t="shared" si="0"/>
        <v>3513.78</v>
      </c>
      <c r="K25" s="16">
        <v>688.27</v>
      </c>
      <c r="L25" s="3" t="s">
        <v>480</v>
      </c>
      <c r="M25" s="11">
        <v>1</v>
      </c>
      <c r="N25" s="17" t="s">
        <v>464</v>
      </c>
      <c r="O25" s="4" t="s">
        <v>507</v>
      </c>
      <c r="P25" s="3" t="s">
        <v>488</v>
      </c>
      <c r="Q25" s="3" t="s">
        <v>508</v>
      </c>
      <c r="R25" s="9" t="s">
        <v>509</v>
      </c>
      <c r="S25" s="7"/>
      <c r="T25" s="8"/>
    </row>
    <row r="26" spans="1:20" x14ac:dyDescent="0.35">
      <c r="A26" s="12">
        <v>8367</v>
      </c>
      <c r="B26" s="13">
        <v>46217.369641203702</v>
      </c>
      <c r="C26" s="17" t="s">
        <v>134</v>
      </c>
      <c r="D26" s="3"/>
      <c r="E26" s="3"/>
      <c r="F26" s="3"/>
      <c r="G26" s="15">
        <v>12066.86</v>
      </c>
      <c r="H26" s="15">
        <v>1930.7</v>
      </c>
      <c r="I26" s="15">
        <v>13997.56</v>
      </c>
      <c r="J26" s="15">
        <f t="shared" si="0"/>
        <v>13997.56</v>
      </c>
      <c r="K26" s="16"/>
      <c r="L26" s="3" t="s">
        <v>480</v>
      </c>
      <c r="M26" s="11">
        <v>1</v>
      </c>
      <c r="N26" s="17" t="s">
        <v>464</v>
      </c>
      <c r="O26" s="4"/>
      <c r="P26" s="3" t="s">
        <v>488</v>
      </c>
      <c r="Q26" s="3" t="s">
        <v>508</v>
      </c>
      <c r="R26" s="9" t="s">
        <v>510</v>
      </c>
      <c r="S26" s="7"/>
      <c r="T26" s="8"/>
    </row>
    <row r="27" spans="1:20" x14ac:dyDescent="0.35">
      <c r="A27" s="12">
        <v>8372</v>
      </c>
      <c r="B27" s="13">
        <v>46217.388703703698</v>
      </c>
      <c r="C27" s="17" t="s">
        <v>344</v>
      </c>
      <c r="D27" s="3"/>
      <c r="E27" s="3"/>
      <c r="F27" s="3"/>
      <c r="G27" s="15">
        <v>308</v>
      </c>
      <c r="H27" s="15">
        <v>49.28</v>
      </c>
      <c r="I27" s="15">
        <v>357.28</v>
      </c>
      <c r="J27" s="15">
        <f t="shared" si="0"/>
        <v>357.28</v>
      </c>
      <c r="K27" s="16"/>
      <c r="L27" s="3" t="s">
        <v>480</v>
      </c>
      <c r="M27" s="11">
        <v>1</v>
      </c>
      <c r="N27" s="17" t="s">
        <v>464</v>
      </c>
      <c r="O27" s="4"/>
      <c r="P27" s="3" t="s">
        <v>488</v>
      </c>
      <c r="Q27" s="3"/>
      <c r="R27" s="9" t="s">
        <v>464</v>
      </c>
      <c r="S27" s="7"/>
      <c r="T27" s="8"/>
    </row>
    <row r="28" spans="1:20" x14ac:dyDescent="0.35">
      <c r="A28" s="12">
        <v>8374</v>
      </c>
      <c r="B28" s="13">
        <v>46217.3902662037</v>
      </c>
      <c r="C28" s="17" t="s">
        <v>90</v>
      </c>
      <c r="D28" s="3"/>
      <c r="E28" s="3"/>
      <c r="F28" s="3"/>
      <c r="G28" s="15">
        <v>1516.66</v>
      </c>
      <c r="H28" s="15">
        <v>242.66</v>
      </c>
      <c r="I28" s="15">
        <v>1759.32</v>
      </c>
      <c r="J28" s="15">
        <f t="shared" si="0"/>
        <v>0</v>
      </c>
      <c r="K28" s="16">
        <v>1759.32</v>
      </c>
      <c r="L28" s="3" t="s">
        <v>480</v>
      </c>
      <c r="M28" s="11">
        <v>1</v>
      </c>
      <c r="N28" s="17" t="s">
        <v>464</v>
      </c>
      <c r="O28" s="19">
        <v>46268</v>
      </c>
      <c r="P28" s="3" t="s">
        <v>488</v>
      </c>
      <c r="Q28" s="3"/>
      <c r="R28" s="9" t="s">
        <v>511</v>
      </c>
      <c r="S28" s="7" t="s">
        <v>472</v>
      </c>
      <c r="T28" s="8"/>
    </row>
    <row r="29" spans="1:20" x14ac:dyDescent="0.35">
      <c r="A29" s="12">
        <v>8375</v>
      </c>
      <c r="B29" s="13">
        <v>46217.3933217593</v>
      </c>
      <c r="C29" s="17" t="s">
        <v>56</v>
      </c>
      <c r="D29" s="3"/>
      <c r="E29" s="3"/>
      <c r="F29" s="3"/>
      <c r="G29" s="15">
        <v>6329.14</v>
      </c>
      <c r="H29" s="15">
        <v>1012.66</v>
      </c>
      <c r="I29" s="15">
        <v>7341.8</v>
      </c>
      <c r="J29" s="15">
        <f t="shared" si="0"/>
        <v>7341.8</v>
      </c>
      <c r="K29" s="16"/>
      <c r="L29" s="3" t="s">
        <v>480</v>
      </c>
      <c r="M29" s="11">
        <v>1</v>
      </c>
      <c r="N29" s="17" t="s">
        <v>464</v>
      </c>
      <c r="O29" s="4"/>
      <c r="P29" s="3" t="s">
        <v>488</v>
      </c>
      <c r="Q29" s="3"/>
      <c r="R29" s="9" t="s">
        <v>510</v>
      </c>
      <c r="S29" s="7" t="s">
        <v>472</v>
      </c>
      <c r="T29" s="8"/>
    </row>
    <row r="30" spans="1:20" x14ac:dyDescent="0.35">
      <c r="A30" s="12">
        <v>8379</v>
      </c>
      <c r="B30" s="13">
        <v>46218.650115740696</v>
      </c>
      <c r="C30" s="17" t="s">
        <v>500</v>
      </c>
      <c r="D30" s="3"/>
      <c r="E30" s="3"/>
      <c r="F30" s="3"/>
      <c r="G30" s="15">
        <v>3129.89</v>
      </c>
      <c r="H30" s="15">
        <v>500.78</v>
      </c>
      <c r="I30" s="15">
        <v>3630.67</v>
      </c>
      <c r="J30" s="15">
        <f t="shared" si="0"/>
        <v>3630.67</v>
      </c>
      <c r="K30" s="16"/>
      <c r="L30" s="3" t="s">
        <v>480</v>
      </c>
      <c r="M30" s="11">
        <v>1</v>
      </c>
      <c r="N30" s="17" t="s">
        <v>464</v>
      </c>
      <c r="O30" s="4"/>
      <c r="P30" s="3" t="s">
        <v>465</v>
      </c>
      <c r="Q30" s="3" t="s">
        <v>470</v>
      </c>
      <c r="R30" s="9" t="s">
        <v>512</v>
      </c>
      <c r="S30" s="7" t="s">
        <v>472</v>
      </c>
      <c r="T30" s="8"/>
    </row>
    <row r="31" spans="1:20" x14ac:dyDescent="0.35">
      <c r="A31" s="12">
        <v>8380</v>
      </c>
      <c r="B31" s="13">
        <v>46218.7277314815</v>
      </c>
      <c r="C31" s="17" t="s">
        <v>148</v>
      </c>
      <c r="D31" s="3"/>
      <c r="E31" s="3"/>
      <c r="F31" s="3"/>
      <c r="G31" s="15">
        <v>367.56</v>
      </c>
      <c r="H31" s="15">
        <v>58.81</v>
      </c>
      <c r="I31" s="15">
        <v>426.37</v>
      </c>
      <c r="J31" s="15">
        <f t="shared" si="0"/>
        <v>426.37</v>
      </c>
      <c r="K31" s="16"/>
      <c r="L31" s="3" t="s">
        <v>480</v>
      </c>
      <c r="M31" s="11">
        <v>1</v>
      </c>
      <c r="N31" s="17" t="s">
        <v>464</v>
      </c>
      <c r="O31" s="4"/>
      <c r="P31" s="3" t="s">
        <v>488</v>
      </c>
      <c r="Q31" s="3"/>
      <c r="R31" s="9" t="s">
        <v>464</v>
      </c>
      <c r="S31" s="7" t="s">
        <v>472</v>
      </c>
      <c r="T31" s="8"/>
    </row>
    <row r="32" spans="1:20" x14ac:dyDescent="0.35">
      <c r="A32" s="12">
        <v>8382</v>
      </c>
      <c r="B32" s="13">
        <v>46219.406435185199</v>
      </c>
      <c r="C32" s="17" t="s">
        <v>14</v>
      </c>
      <c r="D32" s="3"/>
      <c r="E32" s="3"/>
      <c r="F32" s="3"/>
      <c r="G32" s="15">
        <v>6869.23</v>
      </c>
      <c r="H32" s="15">
        <v>1099.05</v>
      </c>
      <c r="I32" s="15">
        <v>7968.28</v>
      </c>
      <c r="J32" s="15">
        <f t="shared" si="0"/>
        <v>4321.04</v>
      </c>
      <c r="K32" s="16">
        <v>3647.24</v>
      </c>
      <c r="L32" s="3" t="s">
        <v>480</v>
      </c>
      <c r="M32" s="11">
        <v>1</v>
      </c>
      <c r="N32" s="17" t="s">
        <v>464</v>
      </c>
      <c r="O32" s="4">
        <v>46247</v>
      </c>
      <c r="P32" s="3" t="s">
        <v>465</v>
      </c>
      <c r="Q32" s="3" t="s">
        <v>470</v>
      </c>
      <c r="R32" s="9" t="s">
        <v>513</v>
      </c>
      <c r="S32" s="7"/>
      <c r="T32" s="8"/>
    </row>
    <row r="33" spans="1:20" x14ac:dyDescent="0.35">
      <c r="A33" s="12">
        <v>8384</v>
      </c>
      <c r="B33" s="13">
        <v>46219.569745370398</v>
      </c>
      <c r="C33" s="17" t="s">
        <v>500</v>
      </c>
      <c r="D33" s="3"/>
      <c r="E33" s="3"/>
      <c r="F33" s="3"/>
      <c r="G33" s="15">
        <v>2886.4</v>
      </c>
      <c r="H33" s="15">
        <v>288</v>
      </c>
      <c r="I33" s="15">
        <v>3174.4</v>
      </c>
      <c r="J33" s="15">
        <f t="shared" si="0"/>
        <v>3174.4</v>
      </c>
      <c r="K33" s="16"/>
      <c r="L33" s="3" t="s">
        <v>480</v>
      </c>
      <c r="M33" s="11">
        <v>1</v>
      </c>
      <c r="N33" s="17" t="s">
        <v>464</v>
      </c>
      <c r="O33" s="4"/>
      <c r="P33" s="3" t="s">
        <v>465</v>
      </c>
      <c r="Q33" s="3" t="s">
        <v>470</v>
      </c>
      <c r="R33" s="9" t="s">
        <v>501</v>
      </c>
      <c r="S33" s="7" t="s">
        <v>472</v>
      </c>
      <c r="T33" s="8"/>
    </row>
    <row r="34" spans="1:20" x14ac:dyDescent="0.35">
      <c r="A34" s="12">
        <v>8385</v>
      </c>
      <c r="B34" s="13">
        <v>46219.691400463002</v>
      </c>
      <c r="C34" s="17" t="s">
        <v>500</v>
      </c>
      <c r="D34" s="3"/>
      <c r="E34" s="3"/>
      <c r="F34" s="3"/>
      <c r="G34" s="15">
        <v>3129.89</v>
      </c>
      <c r="H34" s="15">
        <v>500.78</v>
      </c>
      <c r="I34" s="15">
        <v>3630.67</v>
      </c>
      <c r="J34" s="15">
        <f t="shared" si="0"/>
        <v>3630.67</v>
      </c>
      <c r="K34" s="16"/>
      <c r="L34" s="3" t="s">
        <v>480</v>
      </c>
      <c r="M34" s="11">
        <v>1</v>
      </c>
      <c r="N34" s="17" t="s">
        <v>464</v>
      </c>
      <c r="O34" s="4"/>
      <c r="P34" s="3" t="s">
        <v>465</v>
      </c>
      <c r="Q34" s="3" t="s">
        <v>470</v>
      </c>
      <c r="R34" s="9" t="s">
        <v>501</v>
      </c>
      <c r="S34" s="7" t="s">
        <v>472</v>
      </c>
      <c r="T34" s="8"/>
    </row>
    <row r="35" spans="1:20" x14ac:dyDescent="0.35">
      <c r="A35" s="12">
        <v>8388</v>
      </c>
      <c r="B35" s="13">
        <v>46220.495104166701</v>
      </c>
      <c r="C35" s="17" t="s">
        <v>514</v>
      </c>
      <c r="D35" s="3"/>
      <c r="E35" s="3"/>
      <c r="F35" s="3"/>
      <c r="G35" s="15">
        <v>3907.35</v>
      </c>
      <c r="H35" s="15">
        <v>625.17999999999995</v>
      </c>
      <c r="I35" s="15">
        <v>4532.53</v>
      </c>
      <c r="J35" s="15">
        <f t="shared" si="0"/>
        <v>4532.53</v>
      </c>
      <c r="K35" s="16"/>
      <c r="L35" s="3" t="s">
        <v>480</v>
      </c>
      <c r="M35" s="11">
        <v>1</v>
      </c>
      <c r="N35" s="17" t="s">
        <v>464</v>
      </c>
      <c r="O35" s="4"/>
      <c r="P35" s="3" t="s">
        <v>515</v>
      </c>
      <c r="Q35" s="3"/>
      <c r="R35" s="9" t="s">
        <v>516</v>
      </c>
      <c r="S35" s="7" t="s">
        <v>517</v>
      </c>
      <c r="T35" s="8"/>
    </row>
    <row r="36" spans="1:20" x14ac:dyDescent="0.35">
      <c r="A36" s="12">
        <v>8389</v>
      </c>
      <c r="B36" s="13">
        <v>46220.681793981501</v>
      </c>
      <c r="C36" s="17" t="s">
        <v>518</v>
      </c>
      <c r="D36" s="3"/>
      <c r="E36" s="3"/>
      <c r="F36" s="3"/>
      <c r="G36" s="15">
        <v>1556.58</v>
      </c>
      <c r="H36" s="15">
        <v>249.05</v>
      </c>
      <c r="I36" s="15">
        <v>1805.63</v>
      </c>
      <c r="J36" s="15">
        <f t="shared" si="0"/>
        <v>0</v>
      </c>
      <c r="K36" s="16">
        <v>1805.63</v>
      </c>
      <c r="L36" s="3" t="s">
        <v>480</v>
      </c>
      <c r="M36" s="11">
        <v>1</v>
      </c>
      <c r="N36" s="17" t="s">
        <v>464</v>
      </c>
      <c r="O36" s="4">
        <v>46241</v>
      </c>
      <c r="P36" s="3" t="s">
        <v>519</v>
      </c>
      <c r="Q36" s="3"/>
      <c r="R36" s="9" t="s">
        <v>520</v>
      </c>
      <c r="S36" s="7" t="s">
        <v>517</v>
      </c>
      <c r="T36" s="8"/>
    </row>
    <row r="37" spans="1:20" x14ac:dyDescent="0.35">
      <c r="A37" s="12">
        <v>8392</v>
      </c>
      <c r="B37" s="13">
        <v>46223.623217592598</v>
      </c>
      <c r="C37" s="17" t="s">
        <v>51</v>
      </c>
      <c r="D37" s="3"/>
      <c r="E37" s="3"/>
      <c r="F37" s="3"/>
      <c r="G37" s="15">
        <v>3477</v>
      </c>
      <c r="H37" s="15">
        <v>556.32000000000005</v>
      </c>
      <c r="I37" s="15">
        <v>4033.32</v>
      </c>
      <c r="J37" s="15">
        <f t="shared" si="0"/>
        <v>4033.32</v>
      </c>
      <c r="K37" s="16"/>
      <c r="L37" s="3" t="s">
        <v>480</v>
      </c>
      <c r="M37" s="11">
        <v>1</v>
      </c>
      <c r="N37" s="17" t="s">
        <v>464</v>
      </c>
      <c r="O37" s="4"/>
      <c r="P37" s="3" t="s">
        <v>519</v>
      </c>
      <c r="Q37" s="3"/>
      <c r="R37" s="9" t="s">
        <v>501</v>
      </c>
      <c r="S37" s="7" t="s">
        <v>472</v>
      </c>
      <c r="T37" s="8"/>
    </row>
    <row r="38" spans="1:20" x14ac:dyDescent="0.35">
      <c r="A38" s="12">
        <v>8393</v>
      </c>
      <c r="B38" s="13">
        <v>46223.627476851798</v>
      </c>
      <c r="C38" s="17" t="s">
        <v>51</v>
      </c>
      <c r="D38" s="3"/>
      <c r="E38" s="3"/>
      <c r="F38" s="3"/>
      <c r="G38" s="15">
        <v>180054.42</v>
      </c>
      <c r="H38" s="15">
        <v>28808.7</v>
      </c>
      <c r="I38" s="15">
        <v>208863.12</v>
      </c>
      <c r="J38" s="15">
        <f t="shared" si="0"/>
        <v>182359.51</v>
      </c>
      <c r="K38" s="16">
        <v>26503.61</v>
      </c>
      <c r="L38" s="3" t="s">
        <v>480</v>
      </c>
      <c r="M38" s="11">
        <v>1</v>
      </c>
      <c r="N38" s="17" t="s">
        <v>464</v>
      </c>
      <c r="O38" s="4" t="s">
        <v>521</v>
      </c>
      <c r="P38" s="3" t="s">
        <v>519</v>
      </c>
      <c r="Q38" s="3"/>
      <c r="R38" s="9" t="s">
        <v>522</v>
      </c>
      <c r="S38" s="7"/>
      <c r="T38" s="8" t="s">
        <v>506</v>
      </c>
    </row>
    <row r="39" spans="1:20" x14ac:dyDescent="0.35">
      <c r="A39" s="12">
        <v>8397</v>
      </c>
      <c r="B39" s="13">
        <v>46226.413819444402</v>
      </c>
      <c r="C39" s="17" t="s">
        <v>108</v>
      </c>
      <c r="D39" s="3"/>
      <c r="E39" s="3"/>
      <c r="F39" s="3"/>
      <c r="G39" s="15">
        <v>2819.51</v>
      </c>
      <c r="H39" s="15">
        <v>451.12</v>
      </c>
      <c r="I39" s="15">
        <v>3270.63</v>
      </c>
      <c r="J39" s="15">
        <f t="shared" si="0"/>
        <v>3270.63</v>
      </c>
      <c r="K39" s="16"/>
      <c r="L39" s="3" t="s">
        <v>480</v>
      </c>
      <c r="M39" s="11">
        <v>1</v>
      </c>
      <c r="N39" s="17" t="s">
        <v>464</v>
      </c>
      <c r="O39" s="4"/>
      <c r="P39" s="3" t="s">
        <v>465</v>
      </c>
      <c r="Q39" s="3" t="s">
        <v>475</v>
      </c>
      <c r="R39" s="9" t="s">
        <v>501</v>
      </c>
      <c r="S39" s="7" t="s">
        <v>472</v>
      </c>
      <c r="T39" s="8"/>
    </row>
    <row r="40" spans="1:20" x14ac:dyDescent="0.35">
      <c r="A40" s="12">
        <v>8398</v>
      </c>
      <c r="B40" s="13">
        <v>46226.4198032407</v>
      </c>
      <c r="C40" s="17" t="s">
        <v>108</v>
      </c>
      <c r="D40" s="3"/>
      <c r="E40" s="3"/>
      <c r="F40" s="3"/>
      <c r="G40" s="15">
        <v>13926.73</v>
      </c>
      <c r="H40" s="15">
        <v>2228.2800000000002</v>
      </c>
      <c r="I40" s="15">
        <v>16155.01</v>
      </c>
      <c r="J40" s="15">
        <f t="shared" si="0"/>
        <v>16155.01</v>
      </c>
      <c r="K40" s="16"/>
      <c r="L40" s="3" t="s">
        <v>480</v>
      </c>
      <c r="M40" s="11">
        <v>1</v>
      </c>
      <c r="N40" s="17" t="s">
        <v>464</v>
      </c>
      <c r="O40" s="4"/>
      <c r="P40" s="3" t="s">
        <v>465</v>
      </c>
      <c r="Q40" s="3" t="s">
        <v>475</v>
      </c>
      <c r="R40" s="9" t="s">
        <v>501</v>
      </c>
      <c r="S40" s="7"/>
      <c r="T40" s="8" t="s">
        <v>484</v>
      </c>
    </row>
    <row r="41" spans="1:20" x14ac:dyDescent="0.35">
      <c r="A41" s="12">
        <v>8401</v>
      </c>
      <c r="B41" s="13">
        <v>46227.433506944399</v>
      </c>
      <c r="C41" s="17" t="s">
        <v>69</v>
      </c>
      <c r="D41" s="3"/>
      <c r="E41" s="3"/>
      <c r="F41" s="3"/>
      <c r="G41" s="15">
        <v>1140</v>
      </c>
      <c r="H41" s="15">
        <v>182.4</v>
      </c>
      <c r="I41" s="15">
        <v>1322.4</v>
      </c>
      <c r="J41" s="15">
        <f t="shared" si="0"/>
        <v>0</v>
      </c>
      <c r="K41" s="16">
        <v>1322.4</v>
      </c>
      <c r="L41" s="3" t="s">
        <v>480</v>
      </c>
      <c r="M41" s="11">
        <v>1</v>
      </c>
      <c r="N41" s="17" t="s">
        <v>464</v>
      </c>
      <c r="O41" s="19">
        <v>46275</v>
      </c>
      <c r="P41" s="3" t="s">
        <v>465</v>
      </c>
      <c r="Q41" s="3"/>
      <c r="R41" s="9" t="s">
        <v>523</v>
      </c>
      <c r="S41" s="7" t="s">
        <v>472</v>
      </c>
      <c r="T41" s="8"/>
    </row>
    <row r="42" spans="1:20" x14ac:dyDescent="0.35">
      <c r="A42" s="12">
        <v>8402</v>
      </c>
      <c r="B42" s="13">
        <v>46230.676689814798</v>
      </c>
      <c r="C42" s="17" t="s">
        <v>93</v>
      </c>
      <c r="D42" s="3"/>
      <c r="E42" s="3"/>
      <c r="F42" s="3"/>
      <c r="G42" s="15">
        <v>76545.61</v>
      </c>
      <c r="H42" s="15">
        <v>12247.3</v>
      </c>
      <c r="I42" s="15">
        <v>88792.91</v>
      </c>
      <c r="J42" s="15">
        <f t="shared" si="0"/>
        <v>88792.91</v>
      </c>
      <c r="K42" s="16"/>
      <c r="L42" s="3" t="s">
        <v>480</v>
      </c>
      <c r="M42" s="11">
        <v>1</v>
      </c>
      <c r="N42" s="17" t="s">
        <v>464</v>
      </c>
      <c r="O42" s="4"/>
      <c r="P42" s="3" t="s">
        <v>519</v>
      </c>
      <c r="Q42" s="3"/>
      <c r="R42" s="9" t="s">
        <v>501</v>
      </c>
      <c r="S42" s="7" t="s">
        <v>472</v>
      </c>
      <c r="T42" s="8"/>
    </row>
    <row r="43" spans="1:20" x14ac:dyDescent="0.35">
      <c r="A43" s="12">
        <v>8403</v>
      </c>
      <c r="B43" s="13">
        <v>46230.735520833303</v>
      </c>
      <c r="C43" s="17" t="s">
        <v>173</v>
      </c>
      <c r="D43" s="3"/>
      <c r="E43" s="3"/>
      <c r="F43" s="3"/>
      <c r="G43" s="15">
        <v>14863.24</v>
      </c>
      <c r="H43" s="15">
        <v>2061.2800000000002</v>
      </c>
      <c r="I43" s="15">
        <v>16924.52</v>
      </c>
      <c r="J43" s="15">
        <f t="shared" si="0"/>
        <v>16924.52</v>
      </c>
      <c r="K43" s="16"/>
      <c r="L43" s="3" t="s">
        <v>480</v>
      </c>
      <c r="M43" s="11">
        <v>1</v>
      </c>
      <c r="N43" s="17" t="s">
        <v>464</v>
      </c>
      <c r="O43" s="4"/>
      <c r="P43" s="3" t="s">
        <v>515</v>
      </c>
      <c r="Q43" s="3"/>
      <c r="R43" s="9" t="s">
        <v>501</v>
      </c>
      <c r="S43" s="7" t="s">
        <v>472</v>
      </c>
      <c r="T43" s="8"/>
    </row>
    <row r="44" spans="1:20" x14ac:dyDescent="0.35">
      <c r="A44" s="12">
        <v>8404</v>
      </c>
      <c r="B44" s="13">
        <v>46232.389201388898</v>
      </c>
      <c r="C44" s="17" t="s">
        <v>500</v>
      </c>
      <c r="D44" s="3"/>
      <c r="E44" s="3"/>
      <c r="F44" s="3"/>
      <c r="G44" s="15">
        <v>3038.72</v>
      </c>
      <c r="H44" s="15">
        <v>486.2</v>
      </c>
      <c r="I44" s="15">
        <v>3524.92</v>
      </c>
      <c r="J44" s="15">
        <f t="shared" si="0"/>
        <v>3524.92</v>
      </c>
      <c r="K44" s="16"/>
      <c r="L44" s="3" t="s">
        <v>480</v>
      </c>
      <c r="M44" s="11">
        <v>1</v>
      </c>
      <c r="N44" s="17" t="s">
        <v>464</v>
      </c>
      <c r="O44" s="4"/>
      <c r="P44" s="3" t="s">
        <v>465</v>
      </c>
      <c r="Q44" s="3"/>
      <c r="R44" s="9" t="s">
        <v>524</v>
      </c>
      <c r="S44" s="7" t="s">
        <v>472</v>
      </c>
      <c r="T44" s="8"/>
    </row>
    <row r="45" spans="1:20" x14ac:dyDescent="0.35">
      <c r="A45" s="12">
        <v>8405</v>
      </c>
      <c r="B45" s="13">
        <v>46232.671875</v>
      </c>
      <c r="C45" s="17" t="s">
        <v>93</v>
      </c>
      <c r="D45" s="3"/>
      <c r="E45" s="3"/>
      <c r="F45" s="3"/>
      <c r="G45" s="15">
        <v>3917.51</v>
      </c>
      <c r="H45" s="15">
        <v>0</v>
      </c>
      <c r="I45" s="15">
        <v>3917.51</v>
      </c>
      <c r="J45" s="15">
        <f t="shared" si="0"/>
        <v>3917.51</v>
      </c>
      <c r="K45" s="16"/>
      <c r="L45" s="3" t="s">
        <v>480</v>
      </c>
      <c r="M45" s="11">
        <v>1</v>
      </c>
      <c r="N45" s="17" t="s">
        <v>464</v>
      </c>
      <c r="O45" s="4"/>
      <c r="P45" s="3" t="s">
        <v>519</v>
      </c>
      <c r="Q45" s="3"/>
      <c r="R45" s="9" t="s">
        <v>501</v>
      </c>
      <c r="S45" s="7" t="s">
        <v>472</v>
      </c>
      <c r="T45" s="8"/>
    </row>
    <row r="46" spans="1:20" x14ac:dyDescent="0.35">
      <c r="A46" s="12">
        <v>8406</v>
      </c>
      <c r="B46" s="13">
        <v>46239.667789351901</v>
      </c>
      <c r="C46" s="17" t="s">
        <v>525</v>
      </c>
      <c r="D46" s="17" t="s">
        <v>526</v>
      </c>
      <c r="E46" s="17" t="s">
        <v>527</v>
      </c>
      <c r="F46" s="17" t="s">
        <v>528</v>
      </c>
      <c r="G46" s="20">
        <v>386.25</v>
      </c>
      <c r="H46" s="20">
        <v>61.8</v>
      </c>
      <c r="I46" s="20">
        <f>G46+H46</f>
        <v>448.05</v>
      </c>
      <c r="J46" s="21">
        <f>I46-K46</f>
        <v>448.05</v>
      </c>
      <c r="K46" s="22"/>
      <c r="L46" s="17" t="s">
        <v>463</v>
      </c>
      <c r="M46" s="11">
        <v>1</v>
      </c>
      <c r="N46" s="17" t="s">
        <v>464</v>
      </c>
      <c r="O46" s="23"/>
      <c r="P46" s="17" t="s">
        <v>519</v>
      </c>
      <c r="Q46" s="17" t="s">
        <v>529</v>
      </c>
      <c r="R46" s="17" t="s">
        <v>464</v>
      </c>
      <c r="S46" s="24"/>
      <c r="T46" s="24"/>
    </row>
    <row r="47" spans="1:20" x14ac:dyDescent="0.35">
      <c r="A47" s="12">
        <v>8407</v>
      </c>
      <c r="B47" s="13">
        <v>46240.339143518497</v>
      </c>
      <c r="C47" s="17" t="s">
        <v>530</v>
      </c>
      <c r="D47" s="17" t="s">
        <v>526</v>
      </c>
      <c r="E47" s="17" t="s">
        <v>527</v>
      </c>
      <c r="F47" s="17" t="s">
        <v>528</v>
      </c>
      <c r="G47" s="20">
        <v>2405</v>
      </c>
      <c r="H47" s="20">
        <v>384.8</v>
      </c>
      <c r="I47" s="20">
        <f t="shared" ref="I47:I77" si="1">G47+H47</f>
        <v>2789.8</v>
      </c>
      <c r="J47" s="21">
        <f t="shared" ref="J47:J77" si="2">I47-K47</f>
        <v>2789.8</v>
      </c>
      <c r="K47" s="22"/>
      <c r="L47" s="17" t="s">
        <v>463</v>
      </c>
      <c r="M47" s="11">
        <v>1</v>
      </c>
      <c r="N47" s="17" t="s">
        <v>464</v>
      </c>
      <c r="O47" s="23"/>
      <c r="P47" s="17" t="s">
        <v>519</v>
      </c>
      <c r="Q47" s="17" t="s">
        <v>531</v>
      </c>
      <c r="R47" s="17" t="s">
        <v>532</v>
      </c>
      <c r="S47" s="24"/>
      <c r="T47" s="24"/>
    </row>
    <row r="48" spans="1:20" x14ac:dyDescent="0.35">
      <c r="A48" s="12">
        <v>8408</v>
      </c>
      <c r="B48" s="13">
        <v>46241.578344907401</v>
      </c>
      <c r="C48" s="17" t="s">
        <v>148</v>
      </c>
      <c r="D48" s="17" t="s">
        <v>526</v>
      </c>
      <c r="E48" s="17" t="s">
        <v>527</v>
      </c>
      <c r="F48" s="17" t="s">
        <v>528</v>
      </c>
      <c r="G48" s="20">
        <v>27.21</v>
      </c>
      <c r="H48" s="20">
        <v>4.3499999999999996</v>
      </c>
      <c r="I48" s="20">
        <f t="shared" si="1"/>
        <v>31.560000000000002</v>
      </c>
      <c r="J48" s="21">
        <f t="shared" si="2"/>
        <v>31.560000000000002</v>
      </c>
      <c r="K48" s="22"/>
      <c r="L48" s="17" t="s">
        <v>463</v>
      </c>
      <c r="M48" s="11">
        <v>1</v>
      </c>
      <c r="N48" s="17" t="s">
        <v>464</v>
      </c>
      <c r="O48" s="23"/>
      <c r="P48" s="17" t="s">
        <v>519</v>
      </c>
      <c r="Q48" s="17" t="s">
        <v>508</v>
      </c>
      <c r="R48" s="17" t="s">
        <v>464</v>
      </c>
      <c r="S48" s="24"/>
      <c r="T48" s="24"/>
    </row>
    <row r="49" spans="1:20" x14ac:dyDescent="0.35">
      <c r="A49" s="12">
        <v>8409</v>
      </c>
      <c r="B49" s="13">
        <v>46241.581099536997</v>
      </c>
      <c r="C49" s="17" t="s">
        <v>148</v>
      </c>
      <c r="D49" s="17" t="s">
        <v>526</v>
      </c>
      <c r="E49" s="17" t="s">
        <v>527</v>
      </c>
      <c r="F49" s="17" t="s">
        <v>528</v>
      </c>
      <c r="G49" s="20">
        <v>4145.74</v>
      </c>
      <c r="H49" s="20">
        <v>663.3</v>
      </c>
      <c r="I49" s="20">
        <f t="shared" si="1"/>
        <v>4809.04</v>
      </c>
      <c r="J49" s="21">
        <f t="shared" si="2"/>
        <v>4809.04</v>
      </c>
      <c r="K49" s="22"/>
      <c r="L49" s="17" t="s">
        <v>463</v>
      </c>
      <c r="M49" s="11">
        <v>1</v>
      </c>
      <c r="N49" s="17" t="s">
        <v>464</v>
      </c>
      <c r="O49" s="23"/>
      <c r="P49" s="17" t="s">
        <v>519</v>
      </c>
      <c r="Q49" s="17" t="s">
        <v>508</v>
      </c>
      <c r="R49" s="17" t="s">
        <v>464</v>
      </c>
      <c r="S49" s="24" t="s">
        <v>472</v>
      </c>
      <c r="T49" s="24"/>
    </row>
    <row r="50" spans="1:20" x14ac:dyDescent="0.35">
      <c r="A50" s="12">
        <v>8410</v>
      </c>
      <c r="B50" s="13">
        <v>46246.490740740701</v>
      </c>
      <c r="C50" s="17" t="s">
        <v>110</v>
      </c>
      <c r="D50" s="17" t="s">
        <v>526</v>
      </c>
      <c r="E50" s="17" t="s">
        <v>527</v>
      </c>
      <c r="F50" s="17" t="s">
        <v>528</v>
      </c>
      <c r="G50" s="20">
        <v>5777.93</v>
      </c>
      <c r="H50" s="20">
        <v>924.49</v>
      </c>
      <c r="I50" s="20">
        <f t="shared" si="1"/>
        <v>6702.42</v>
      </c>
      <c r="J50" s="21">
        <f t="shared" si="2"/>
        <v>6702.42</v>
      </c>
      <c r="K50" s="22"/>
      <c r="L50" s="17" t="s">
        <v>463</v>
      </c>
      <c r="M50" s="11">
        <v>1</v>
      </c>
      <c r="N50" s="17" t="s">
        <v>464</v>
      </c>
      <c r="O50" s="23"/>
      <c r="P50" s="17" t="s">
        <v>465</v>
      </c>
      <c r="Q50" s="17" t="s">
        <v>504</v>
      </c>
      <c r="R50" s="17" t="s">
        <v>464</v>
      </c>
      <c r="S50" s="24" t="s">
        <v>472</v>
      </c>
      <c r="T50" s="24"/>
    </row>
    <row r="51" spans="1:20" x14ac:dyDescent="0.35">
      <c r="A51" s="12">
        <v>8411</v>
      </c>
      <c r="B51" s="13">
        <v>46246.495000000003</v>
      </c>
      <c r="C51" s="17" t="s">
        <v>352</v>
      </c>
      <c r="D51" s="17" t="s">
        <v>526</v>
      </c>
      <c r="E51" s="17" t="s">
        <v>527</v>
      </c>
      <c r="F51" s="17" t="s">
        <v>528</v>
      </c>
      <c r="G51" s="20">
        <v>247.2</v>
      </c>
      <c r="H51" s="20">
        <v>39.549999999999997</v>
      </c>
      <c r="I51" s="20">
        <f t="shared" si="1"/>
        <v>286.75</v>
      </c>
      <c r="J51" s="21">
        <f t="shared" si="2"/>
        <v>286.75</v>
      </c>
      <c r="K51" s="22"/>
      <c r="L51" s="17" t="s">
        <v>463</v>
      </c>
      <c r="M51" s="11">
        <v>1</v>
      </c>
      <c r="N51" s="17" t="s">
        <v>464</v>
      </c>
      <c r="O51" s="23"/>
      <c r="P51" s="17" t="s">
        <v>465</v>
      </c>
      <c r="Q51" s="17" t="s">
        <v>504</v>
      </c>
      <c r="R51" s="17" t="s">
        <v>464</v>
      </c>
      <c r="S51" s="24" t="s">
        <v>472</v>
      </c>
      <c r="T51" s="24"/>
    </row>
    <row r="52" spans="1:20" x14ac:dyDescent="0.35">
      <c r="A52" s="12">
        <v>8412</v>
      </c>
      <c r="B52" s="13">
        <v>46246.495798611097</v>
      </c>
      <c r="C52" s="17" t="s">
        <v>352</v>
      </c>
      <c r="D52" s="17" t="s">
        <v>526</v>
      </c>
      <c r="E52" s="17" t="s">
        <v>527</v>
      </c>
      <c r="F52" s="17" t="s">
        <v>528</v>
      </c>
      <c r="G52" s="20">
        <v>71.599999999999994</v>
      </c>
      <c r="H52" s="20">
        <v>11.46</v>
      </c>
      <c r="I52" s="20">
        <f t="shared" si="1"/>
        <v>83.06</v>
      </c>
      <c r="J52" s="21">
        <f t="shared" si="2"/>
        <v>0</v>
      </c>
      <c r="K52" s="22">
        <v>83.06</v>
      </c>
      <c r="L52" s="17" t="s">
        <v>463</v>
      </c>
      <c r="M52" s="11">
        <v>1</v>
      </c>
      <c r="N52" s="17"/>
      <c r="O52" s="23"/>
      <c r="P52" s="17" t="s">
        <v>465</v>
      </c>
      <c r="Q52" s="17" t="s">
        <v>504</v>
      </c>
      <c r="R52" s="17" t="s">
        <v>533</v>
      </c>
      <c r="S52" s="24"/>
      <c r="T52" s="24" t="s">
        <v>506</v>
      </c>
    </row>
    <row r="53" spans="1:20" x14ac:dyDescent="0.35">
      <c r="A53" s="12">
        <v>8413</v>
      </c>
      <c r="B53" s="13">
        <v>46246.644756944399</v>
      </c>
      <c r="C53" s="17" t="s">
        <v>87</v>
      </c>
      <c r="D53" s="17" t="s">
        <v>526</v>
      </c>
      <c r="E53" s="17" t="s">
        <v>527</v>
      </c>
      <c r="F53" s="17" t="s">
        <v>528</v>
      </c>
      <c r="G53" s="20">
        <v>2261.65</v>
      </c>
      <c r="H53" s="20">
        <v>361.87</v>
      </c>
      <c r="I53" s="20">
        <f t="shared" si="1"/>
        <v>2623.52</v>
      </c>
      <c r="J53" s="21">
        <f t="shared" si="2"/>
        <v>0</v>
      </c>
      <c r="K53" s="22">
        <v>2623.52</v>
      </c>
      <c r="L53" s="17" t="s">
        <v>463</v>
      </c>
      <c r="M53" s="11">
        <v>1</v>
      </c>
      <c r="N53" s="17"/>
      <c r="O53" s="23"/>
      <c r="P53" s="17" t="s">
        <v>519</v>
      </c>
      <c r="Q53" s="17" t="s">
        <v>481</v>
      </c>
      <c r="R53" s="17" t="s">
        <v>534</v>
      </c>
      <c r="S53" s="24"/>
      <c r="T53" s="24" t="s">
        <v>506</v>
      </c>
    </row>
    <row r="54" spans="1:20" x14ac:dyDescent="0.35">
      <c r="A54" s="12">
        <v>8414</v>
      </c>
      <c r="B54" s="13">
        <v>46246.645682870403</v>
      </c>
      <c r="C54" s="17" t="s">
        <v>51</v>
      </c>
      <c r="D54" s="17" t="s">
        <v>526</v>
      </c>
      <c r="E54" s="17" t="s">
        <v>527</v>
      </c>
      <c r="F54" s="17" t="s">
        <v>528</v>
      </c>
      <c r="G54" s="20">
        <v>36565.4</v>
      </c>
      <c r="H54" s="20">
        <v>5850.47</v>
      </c>
      <c r="I54" s="20">
        <f t="shared" si="1"/>
        <v>42415.87</v>
      </c>
      <c r="J54" s="21">
        <f t="shared" si="2"/>
        <v>42415.87</v>
      </c>
      <c r="K54" s="22"/>
      <c r="L54" s="17" t="s">
        <v>463</v>
      </c>
      <c r="M54" s="11">
        <v>1</v>
      </c>
      <c r="N54" s="17" t="s">
        <v>464</v>
      </c>
      <c r="O54" s="23"/>
      <c r="P54" s="17"/>
      <c r="Q54" s="17"/>
      <c r="R54" s="17" t="s">
        <v>464</v>
      </c>
      <c r="S54" s="24"/>
      <c r="T54" s="24"/>
    </row>
    <row r="55" spans="1:20" x14ac:dyDescent="0.35">
      <c r="A55" s="12">
        <v>8415</v>
      </c>
      <c r="B55" s="13">
        <v>46246.722673611097</v>
      </c>
      <c r="C55" s="17" t="s">
        <v>87</v>
      </c>
      <c r="D55" s="17" t="s">
        <v>526</v>
      </c>
      <c r="E55" s="17" t="s">
        <v>527</v>
      </c>
      <c r="F55" s="17" t="s">
        <v>528</v>
      </c>
      <c r="G55" s="20">
        <v>1032</v>
      </c>
      <c r="H55" s="20">
        <v>165.12</v>
      </c>
      <c r="I55" s="20">
        <f t="shared" si="1"/>
        <v>1197.1199999999999</v>
      </c>
      <c r="J55" s="21">
        <f t="shared" si="2"/>
        <v>1197.1199999999999</v>
      </c>
      <c r="K55" s="22"/>
      <c r="L55" s="17" t="s">
        <v>463</v>
      </c>
      <c r="M55" s="11">
        <v>1</v>
      </c>
      <c r="N55" s="17" t="s">
        <v>464</v>
      </c>
      <c r="O55" s="23"/>
      <c r="P55" s="17"/>
      <c r="Q55" s="17"/>
      <c r="R55" s="17" t="s">
        <v>464</v>
      </c>
      <c r="S55" s="24"/>
      <c r="T55" s="24"/>
    </row>
    <row r="56" spans="1:20" x14ac:dyDescent="0.35">
      <c r="A56" s="12">
        <v>8416</v>
      </c>
      <c r="B56" s="13">
        <v>46247.4234953704</v>
      </c>
      <c r="C56" s="17" t="s">
        <v>113</v>
      </c>
      <c r="D56" s="17" t="s">
        <v>526</v>
      </c>
      <c r="E56" s="17" t="s">
        <v>535</v>
      </c>
      <c r="F56" s="17" t="s">
        <v>528</v>
      </c>
      <c r="G56" s="20">
        <v>5189.5</v>
      </c>
      <c r="H56" s="20">
        <v>830.32</v>
      </c>
      <c r="I56" s="20">
        <f t="shared" si="1"/>
        <v>6019.82</v>
      </c>
      <c r="J56" s="21">
        <f t="shared" si="2"/>
        <v>0</v>
      </c>
      <c r="K56" s="22">
        <v>6019.82</v>
      </c>
      <c r="L56" s="17" t="s">
        <v>463</v>
      </c>
      <c r="M56" s="11">
        <v>1</v>
      </c>
      <c r="N56" s="17"/>
      <c r="O56" s="23"/>
      <c r="P56" s="17" t="s">
        <v>465</v>
      </c>
      <c r="Q56" s="17" t="s">
        <v>508</v>
      </c>
      <c r="R56" s="17" t="s">
        <v>536</v>
      </c>
      <c r="S56" s="24"/>
      <c r="T56" s="24" t="s">
        <v>506</v>
      </c>
    </row>
    <row r="57" spans="1:20" x14ac:dyDescent="0.35">
      <c r="A57" s="12">
        <v>8417</v>
      </c>
      <c r="B57" s="13">
        <v>46247.494907407403</v>
      </c>
      <c r="C57" s="17" t="s">
        <v>537</v>
      </c>
      <c r="D57" s="17" t="s">
        <v>526</v>
      </c>
      <c r="E57" s="17" t="s">
        <v>527</v>
      </c>
      <c r="F57" s="17" t="s">
        <v>528</v>
      </c>
      <c r="G57" s="20">
        <v>5959.6</v>
      </c>
      <c r="H57" s="20">
        <v>953.54</v>
      </c>
      <c r="I57" s="20">
        <f t="shared" si="1"/>
        <v>6913.14</v>
      </c>
      <c r="J57" s="21">
        <f t="shared" si="2"/>
        <v>0</v>
      </c>
      <c r="K57" s="22">
        <v>6913.14</v>
      </c>
      <c r="L57" s="17" t="s">
        <v>463</v>
      </c>
      <c r="M57" s="11">
        <v>1</v>
      </c>
      <c r="N57" s="17"/>
      <c r="O57" s="23"/>
      <c r="P57" s="17" t="s">
        <v>519</v>
      </c>
      <c r="Q57" s="17" t="s">
        <v>475</v>
      </c>
      <c r="R57" s="17" t="s">
        <v>538</v>
      </c>
      <c r="S57" s="24"/>
      <c r="T57" s="24" t="s">
        <v>506</v>
      </c>
    </row>
    <row r="58" spans="1:20" x14ac:dyDescent="0.35">
      <c r="A58" s="12">
        <v>8418</v>
      </c>
      <c r="B58" s="13">
        <v>46248.723356481503</v>
      </c>
      <c r="C58" s="17" t="s">
        <v>518</v>
      </c>
      <c r="D58" s="17" t="s">
        <v>526</v>
      </c>
      <c r="E58" s="17" t="s">
        <v>527</v>
      </c>
      <c r="F58" s="17" t="s">
        <v>528</v>
      </c>
      <c r="G58" s="20">
        <v>360.06</v>
      </c>
      <c r="H58" s="20">
        <v>57.61</v>
      </c>
      <c r="I58" s="20">
        <f t="shared" si="1"/>
        <v>417.67</v>
      </c>
      <c r="J58" s="21">
        <f t="shared" si="2"/>
        <v>0</v>
      </c>
      <c r="K58" s="22">
        <v>417.67</v>
      </c>
      <c r="L58" s="17" t="s">
        <v>463</v>
      </c>
      <c r="M58" s="11">
        <v>1</v>
      </c>
      <c r="N58" s="17"/>
      <c r="O58" s="23"/>
      <c r="P58" s="17" t="s">
        <v>519</v>
      </c>
      <c r="Q58" s="17" t="s">
        <v>491</v>
      </c>
      <c r="R58" s="17" t="s">
        <v>539</v>
      </c>
      <c r="S58" s="24"/>
      <c r="T58" s="24"/>
    </row>
    <row r="59" spans="1:20" x14ac:dyDescent="0.35">
      <c r="A59" s="12">
        <v>8419</v>
      </c>
      <c r="B59" s="13">
        <v>46248.726331018501</v>
      </c>
      <c r="C59" s="17" t="s">
        <v>157</v>
      </c>
      <c r="D59" s="17" t="s">
        <v>526</v>
      </c>
      <c r="E59" s="17" t="s">
        <v>527</v>
      </c>
      <c r="F59" s="17" t="s">
        <v>528</v>
      </c>
      <c r="G59" s="20">
        <v>457.42</v>
      </c>
      <c r="H59" s="20">
        <v>73.19</v>
      </c>
      <c r="I59" s="20">
        <f t="shared" si="1"/>
        <v>530.61</v>
      </c>
      <c r="J59" s="21">
        <f t="shared" si="2"/>
        <v>276.81</v>
      </c>
      <c r="K59" s="22">
        <v>253.8</v>
      </c>
      <c r="L59" s="17" t="s">
        <v>463</v>
      </c>
      <c r="M59" s="11">
        <v>1</v>
      </c>
      <c r="N59" s="17"/>
      <c r="O59" s="23"/>
      <c r="P59" s="17" t="s">
        <v>519</v>
      </c>
      <c r="Q59" s="17" t="s">
        <v>491</v>
      </c>
      <c r="R59" s="17" t="s">
        <v>540</v>
      </c>
      <c r="S59" s="24"/>
      <c r="T59" s="24"/>
    </row>
    <row r="60" spans="1:20" x14ac:dyDescent="0.35">
      <c r="A60" s="12">
        <v>8420</v>
      </c>
      <c r="B60" s="13">
        <v>46249.571736111102</v>
      </c>
      <c r="C60" s="17" t="s">
        <v>541</v>
      </c>
      <c r="D60" s="17" t="s">
        <v>526</v>
      </c>
      <c r="E60" s="17" t="s">
        <v>527</v>
      </c>
      <c r="F60" s="17" t="s">
        <v>528</v>
      </c>
      <c r="G60" s="20">
        <v>1070.04</v>
      </c>
      <c r="H60" s="20">
        <v>171.21</v>
      </c>
      <c r="I60" s="20">
        <f t="shared" si="1"/>
        <v>1241.25</v>
      </c>
      <c r="J60" s="21">
        <f t="shared" si="2"/>
        <v>0</v>
      </c>
      <c r="K60" s="22">
        <v>1241.25</v>
      </c>
      <c r="L60" s="17" t="s">
        <v>463</v>
      </c>
      <c r="M60" s="11">
        <v>1</v>
      </c>
      <c r="N60" s="17"/>
      <c r="O60" s="23"/>
      <c r="P60" s="17" t="s">
        <v>465</v>
      </c>
      <c r="Q60" s="17" t="s">
        <v>508</v>
      </c>
      <c r="R60" s="17" t="s">
        <v>542</v>
      </c>
      <c r="S60" s="24" t="s">
        <v>472</v>
      </c>
      <c r="T60" s="24" t="s">
        <v>506</v>
      </c>
    </row>
    <row r="61" spans="1:20" x14ac:dyDescent="0.35">
      <c r="A61" s="12">
        <v>8421</v>
      </c>
      <c r="B61" s="13">
        <v>46249.5722453704</v>
      </c>
      <c r="C61" s="17" t="s">
        <v>541</v>
      </c>
      <c r="D61" s="17" t="s">
        <v>526</v>
      </c>
      <c r="E61" s="17" t="s">
        <v>527</v>
      </c>
      <c r="F61" s="17" t="s">
        <v>528</v>
      </c>
      <c r="G61" s="20">
        <v>563.95000000000005</v>
      </c>
      <c r="H61" s="20">
        <v>90.23</v>
      </c>
      <c r="I61" s="20">
        <f t="shared" si="1"/>
        <v>654.18000000000006</v>
      </c>
      <c r="J61" s="21">
        <f t="shared" si="2"/>
        <v>654.18000000000006</v>
      </c>
      <c r="K61" s="22"/>
      <c r="L61" s="17" t="s">
        <v>463</v>
      </c>
      <c r="M61" s="11">
        <v>1</v>
      </c>
      <c r="N61" s="17" t="s">
        <v>464</v>
      </c>
      <c r="O61" s="23"/>
      <c r="P61" s="17" t="s">
        <v>465</v>
      </c>
      <c r="Q61" s="17" t="s">
        <v>508</v>
      </c>
      <c r="R61" s="17" t="s">
        <v>464</v>
      </c>
      <c r="S61" s="24"/>
      <c r="T61" s="24" t="s">
        <v>506</v>
      </c>
    </row>
    <row r="62" spans="1:20" x14ac:dyDescent="0.35">
      <c r="A62" s="12">
        <v>8422</v>
      </c>
      <c r="B62" s="13">
        <v>46253.705995370401</v>
      </c>
      <c r="C62" s="17" t="s">
        <v>116</v>
      </c>
      <c r="D62" s="17" t="s">
        <v>526</v>
      </c>
      <c r="E62" s="17" t="s">
        <v>543</v>
      </c>
      <c r="F62" s="17" t="s">
        <v>544</v>
      </c>
      <c r="G62" s="20">
        <v>864.42</v>
      </c>
      <c r="H62" s="20">
        <v>138.31</v>
      </c>
      <c r="I62" s="20">
        <f t="shared" si="1"/>
        <v>1002.73</v>
      </c>
      <c r="J62" s="21">
        <f t="shared" si="2"/>
        <v>0</v>
      </c>
      <c r="K62" s="22">
        <v>1002.73</v>
      </c>
      <c r="L62" s="17" t="s">
        <v>463</v>
      </c>
      <c r="M62" s="11">
        <v>1</v>
      </c>
      <c r="N62" s="17"/>
      <c r="O62" s="23"/>
      <c r="P62" s="17"/>
      <c r="Q62" s="17"/>
      <c r="R62" s="17" t="s">
        <v>545</v>
      </c>
      <c r="S62" s="24"/>
      <c r="T62" s="24" t="s">
        <v>506</v>
      </c>
    </row>
    <row r="63" spans="1:20" x14ac:dyDescent="0.35">
      <c r="A63" s="12">
        <v>8423</v>
      </c>
      <c r="B63" s="13">
        <v>46254.535277777803</v>
      </c>
      <c r="C63" s="17" t="s">
        <v>546</v>
      </c>
      <c r="D63" s="17" t="s">
        <v>526</v>
      </c>
      <c r="E63" s="17" t="s">
        <v>527</v>
      </c>
      <c r="F63" s="17" t="s">
        <v>528</v>
      </c>
      <c r="G63" s="20">
        <v>167997.04</v>
      </c>
      <c r="H63" s="20">
        <v>26879.53</v>
      </c>
      <c r="I63" s="20">
        <f t="shared" si="1"/>
        <v>194876.57</v>
      </c>
      <c r="J63" s="21">
        <f t="shared" si="2"/>
        <v>194876.57</v>
      </c>
      <c r="K63" s="22"/>
      <c r="L63" s="17" t="s">
        <v>463</v>
      </c>
      <c r="M63" s="11">
        <v>1</v>
      </c>
      <c r="N63" s="17" t="s">
        <v>464</v>
      </c>
      <c r="O63" s="23"/>
      <c r="P63" s="17" t="s">
        <v>465</v>
      </c>
      <c r="Q63" s="17" t="s">
        <v>491</v>
      </c>
      <c r="R63" s="17" t="s">
        <v>547</v>
      </c>
      <c r="S63" s="24"/>
      <c r="T63" s="24" t="s">
        <v>506</v>
      </c>
    </row>
    <row r="64" spans="1:20" x14ac:dyDescent="0.35">
      <c r="A64" s="12">
        <v>8424</v>
      </c>
      <c r="B64" s="13">
        <v>46258.385729166701</v>
      </c>
      <c r="C64" s="17" t="s">
        <v>173</v>
      </c>
      <c r="D64" s="17" t="s">
        <v>526</v>
      </c>
      <c r="E64" s="17" t="s">
        <v>527</v>
      </c>
      <c r="F64" s="17" t="s">
        <v>528</v>
      </c>
      <c r="G64" s="20">
        <v>1840.32</v>
      </c>
      <c r="H64" s="20">
        <v>294.45</v>
      </c>
      <c r="I64" s="20">
        <f t="shared" si="1"/>
        <v>2134.77</v>
      </c>
      <c r="J64" s="21">
        <f t="shared" si="2"/>
        <v>2134.77</v>
      </c>
      <c r="K64" s="22"/>
      <c r="L64" s="17" t="s">
        <v>463</v>
      </c>
      <c r="M64" s="11">
        <v>1</v>
      </c>
      <c r="N64" s="17" t="s">
        <v>464</v>
      </c>
      <c r="O64" s="23"/>
      <c r="P64" s="17" t="s">
        <v>519</v>
      </c>
      <c r="Q64" s="17" t="s">
        <v>470</v>
      </c>
      <c r="R64" s="17" t="s">
        <v>464</v>
      </c>
      <c r="S64" s="24"/>
      <c r="T64" s="24" t="s">
        <v>506</v>
      </c>
    </row>
    <row r="65" spans="1:20" x14ac:dyDescent="0.35">
      <c r="A65" s="12">
        <v>8425</v>
      </c>
      <c r="B65" s="13">
        <v>46259.6805439815</v>
      </c>
      <c r="C65" s="17" t="s">
        <v>154</v>
      </c>
      <c r="D65" s="17" t="s">
        <v>15</v>
      </c>
      <c r="E65" s="17" t="s">
        <v>15</v>
      </c>
      <c r="F65" s="17" t="s">
        <v>528</v>
      </c>
      <c r="G65" s="20">
        <v>2285.7199999999998</v>
      </c>
      <c r="H65" s="20">
        <v>365.72</v>
      </c>
      <c r="I65" s="20">
        <f t="shared" si="1"/>
        <v>2651.4399999999996</v>
      </c>
      <c r="J65" s="21">
        <f t="shared" si="2"/>
        <v>0</v>
      </c>
      <c r="K65" s="22">
        <v>2651.44</v>
      </c>
      <c r="L65" s="17" t="s">
        <v>463</v>
      </c>
      <c r="M65" s="11">
        <v>1</v>
      </c>
      <c r="N65" s="17"/>
      <c r="O65" s="23"/>
      <c r="P65" s="17" t="s">
        <v>519</v>
      </c>
      <c r="Q65" s="17" t="s">
        <v>310</v>
      </c>
      <c r="R65" s="17" t="s">
        <v>548</v>
      </c>
      <c r="S65" s="24"/>
      <c r="T65" s="24"/>
    </row>
    <row r="66" spans="1:20" x14ac:dyDescent="0.35">
      <c r="A66" s="12">
        <v>8426</v>
      </c>
      <c r="B66" s="13">
        <v>46259.691689814797</v>
      </c>
      <c r="C66" s="17" t="s">
        <v>154</v>
      </c>
      <c r="D66" s="17" t="s">
        <v>15</v>
      </c>
      <c r="E66" s="17" t="s">
        <v>15</v>
      </c>
      <c r="F66" s="17" t="s">
        <v>528</v>
      </c>
      <c r="G66" s="20">
        <v>21721.66</v>
      </c>
      <c r="H66" s="20">
        <v>3475.47</v>
      </c>
      <c r="I66" s="20">
        <f t="shared" si="1"/>
        <v>25197.13</v>
      </c>
      <c r="J66" s="21">
        <f t="shared" si="2"/>
        <v>24046.61</v>
      </c>
      <c r="K66" s="22">
        <v>1150.52</v>
      </c>
      <c r="L66" s="17" t="s">
        <v>463</v>
      </c>
      <c r="M66" s="11">
        <v>1</v>
      </c>
      <c r="N66" s="17"/>
      <c r="O66" s="23"/>
      <c r="P66" s="17" t="s">
        <v>519</v>
      </c>
      <c r="Q66" s="17" t="s">
        <v>310</v>
      </c>
      <c r="R66" s="17" t="s">
        <v>549</v>
      </c>
      <c r="S66" s="24"/>
      <c r="T66" s="24" t="s">
        <v>506</v>
      </c>
    </row>
    <row r="67" spans="1:20" x14ac:dyDescent="0.35">
      <c r="A67" s="12">
        <v>8427</v>
      </c>
      <c r="B67" s="13">
        <v>46260.361122685201</v>
      </c>
      <c r="C67" s="17" t="s">
        <v>191</v>
      </c>
      <c r="D67" s="17" t="s">
        <v>526</v>
      </c>
      <c r="E67" s="17" t="s">
        <v>527</v>
      </c>
      <c r="F67" s="17" t="s">
        <v>528</v>
      </c>
      <c r="G67" s="20">
        <v>2717.81</v>
      </c>
      <c r="H67" s="20">
        <v>434.84</v>
      </c>
      <c r="I67" s="20">
        <f t="shared" si="1"/>
        <v>3152.65</v>
      </c>
      <c r="J67" s="21">
        <f t="shared" si="2"/>
        <v>3152.65</v>
      </c>
      <c r="K67" s="22"/>
      <c r="L67" s="17" t="s">
        <v>463</v>
      </c>
      <c r="M67" s="11">
        <v>1</v>
      </c>
      <c r="N67" s="17" t="s">
        <v>464</v>
      </c>
      <c r="O67" s="23"/>
      <c r="P67" s="17" t="s">
        <v>519</v>
      </c>
      <c r="Q67" s="17" t="s">
        <v>504</v>
      </c>
      <c r="R67" s="17" t="s">
        <v>464</v>
      </c>
      <c r="S67" s="24" t="s">
        <v>472</v>
      </c>
      <c r="T67" s="24"/>
    </row>
    <row r="68" spans="1:20" x14ac:dyDescent="0.35">
      <c r="A68" s="12">
        <v>8428</v>
      </c>
      <c r="B68" s="13">
        <v>46260.362893518497</v>
      </c>
      <c r="C68" s="17" t="s">
        <v>191</v>
      </c>
      <c r="D68" s="17" t="s">
        <v>526</v>
      </c>
      <c r="E68" s="17" t="s">
        <v>527</v>
      </c>
      <c r="F68" s="17" t="s">
        <v>528</v>
      </c>
      <c r="G68" s="20">
        <v>4992.9399999999996</v>
      </c>
      <c r="H68" s="20">
        <v>798.88</v>
      </c>
      <c r="I68" s="20">
        <f t="shared" si="1"/>
        <v>5791.82</v>
      </c>
      <c r="J68" s="21">
        <f t="shared" si="2"/>
        <v>0</v>
      </c>
      <c r="K68" s="22">
        <v>5791.82</v>
      </c>
      <c r="L68" s="17" t="s">
        <v>463</v>
      </c>
      <c r="M68" s="11">
        <v>1</v>
      </c>
      <c r="N68" s="17"/>
      <c r="O68" s="23"/>
      <c r="P68" s="17" t="s">
        <v>519</v>
      </c>
      <c r="Q68" s="17" t="s">
        <v>504</v>
      </c>
      <c r="R68" s="17" t="s">
        <v>550</v>
      </c>
      <c r="S68" s="24"/>
      <c r="T68" s="24"/>
    </row>
    <row r="69" spans="1:20" x14ac:dyDescent="0.35">
      <c r="A69" s="12">
        <v>8429</v>
      </c>
      <c r="B69" s="13">
        <v>46260.503437500003</v>
      </c>
      <c r="C69" s="17" t="s">
        <v>173</v>
      </c>
      <c r="D69" s="17" t="s">
        <v>526</v>
      </c>
      <c r="E69" s="17" t="s">
        <v>527</v>
      </c>
      <c r="F69" s="17" t="s">
        <v>528</v>
      </c>
      <c r="G69" s="20">
        <v>98548.96</v>
      </c>
      <c r="H69" s="20">
        <v>14778.51</v>
      </c>
      <c r="I69" s="20">
        <f t="shared" si="1"/>
        <v>113327.47</v>
      </c>
      <c r="J69" s="21">
        <f t="shared" si="2"/>
        <v>113327.47</v>
      </c>
      <c r="K69" s="22"/>
      <c r="L69" s="17" t="s">
        <v>463</v>
      </c>
      <c r="M69" s="11">
        <v>1</v>
      </c>
      <c r="N69" s="17"/>
      <c r="O69" s="23"/>
      <c r="P69" s="17" t="s">
        <v>519</v>
      </c>
      <c r="Q69" s="17" t="s">
        <v>470</v>
      </c>
      <c r="R69" s="17" t="s">
        <v>464</v>
      </c>
      <c r="S69" s="24" t="s">
        <v>472</v>
      </c>
      <c r="T69" s="24"/>
    </row>
    <row r="70" spans="1:20" x14ac:dyDescent="0.35">
      <c r="A70" s="12">
        <v>8430</v>
      </c>
      <c r="B70" s="13">
        <v>46262.507187499999</v>
      </c>
      <c r="C70" s="17" t="s">
        <v>551</v>
      </c>
      <c r="D70" s="17" t="s">
        <v>15</v>
      </c>
      <c r="E70" s="17" t="s">
        <v>15</v>
      </c>
      <c r="F70" s="17" t="s">
        <v>528</v>
      </c>
      <c r="G70" s="20">
        <v>691.22</v>
      </c>
      <c r="H70" s="20">
        <v>110.6</v>
      </c>
      <c r="I70" s="20">
        <f t="shared" si="1"/>
        <v>801.82</v>
      </c>
      <c r="J70" s="21">
        <f t="shared" si="2"/>
        <v>801.82</v>
      </c>
      <c r="K70" s="22"/>
      <c r="L70" s="17" t="s">
        <v>463</v>
      </c>
      <c r="M70" s="11">
        <v>1</v>
      </c>
      <c r="N70" s="17" t="s">
        <v>464</v>
      </c>
      <c r="O70" s="23"/>
      <c r="P70" s="17" t="s">
        <v>519</v>
      </c>
      <c r="Q70" s="17" t="s">
        <v>504</v>
      </c>
      <c r="R70" s="17" t="s">
        <v>510</v>
      </c>
      <c r="S70" s="24" t="s">
        <v>472</v>
      </c>
      <c r="T70" s="24"/>
    </row>
    <row r="71" spans="1:20" x14ac:dyDescent="0.35">
      <c r="A71" s="12">
        <v>8431</v>
      </c>
      <c r="B71" s="13">
        <v>46262.5078125</v>
      </c>
      <c r="C71" s="17" t="s">
        <v>551</v>
      </c>
      <c r="D71" s="17" t="s">
        <v>15</v>
      </c>
      <c r="E71" s="17" t="s">
        <v>15</v>
      </c>
      <c r="F71" s="17" t="s">
        <v>528</v>
      </c>
      <c r="G71" s="20">
        <v>1103.96</v>
      </c>
      <c r="H71" s="20">
        <v>176.63</v>
      </c>
      <c r="I71" s="20">
        <f t="shared" si="1"/>
        <v>1280.5900000000001</v>
      </c>
      <c r="J71" s="21">
        <f t="shared" si="2"/>
        <v>1280.5900000000001</v>
      </c>
      <c r="K71" s="22"/>
      <c r="L71" s="17" t="s">
        <v>463</v>
      </c>
      <c r="M71" s="11">
        <v>1</v>
      </c>
      <c r="N71" s="17" t="s">
        <v>464</v>
      </c>
      <c r="O71" s="23"/>
      <c r="P71" s="17" t="s">
        <v>519</v>
      </c>
      <c r="Q71" s="17" t="s">
        <v>504</v>
      </c>
      <c r="R71" s="17" t="s">
        <v>464</v>
      </c>
      <c r="S71" s="24"/>
      <c r="T71" s="24" t="s">
        <v>490</v>
      </c>
    </row>
    <row r="72" spans="1:20" x14ac:dyDescent="0.35">
      <c r="A72" s="12">
        <v>8432</v>
      </c>
      <c r="B72" s="13">
        <v>46262.552453703698</v>
      </c>
      <c r="C72" s="17" t="s">
        <v>151</v>
      </c>
      <c r="D72" s="17" t="s">
        <v>526</v>
      </c>
      <c r="E72" s="17" t="s">
        <v>527</v>
      </c>
      <c r="F72" s="17" t="s">
        <v>528</v>
      </c>
      <c r="G72" s="20">
        <v>509.59</v>
      </c>
      <c r="H72" s="20">
        <v>81.53</v>
      </c>
      <c r="I72" s="20">
        <f t="shared" si="1"/>
        <v>591.12</v>
      </c>
      <c r="J72" s="21">
        <f t="shared" si="2"/>
        <v>0</v>
      </c>
      <c r="K72" s="22">
        <v>591.12</v>
      </c>
      <c r="L72" s="17" t="s">
        <v>463</v>
      </c>
      <c r="M72" s="11">
        <v>1</v>
      </c>
      <c r="N72" s="17"/>
      <c r="O72" s="23"/>
      <c r="P72" s="17" t="s">
        <v>465</v>
      </c>
      <c r="Q72" s="17" t="s">
        <v>310</v>
      </c>
      <c r="R72" s="17" t="s">
        <v>552</v>
      </c>
      <c r="S72" s="24"/>
      <c r="T72" s="24"/>
    </row>
    <row r="73" spans="1:20" x14ac:dyDescent="0.35">
      <c r="A73" s="12">
        <v>8433</v>
      </c>
      <c r="B73" s="13">
        <v>46262.553078703699</v>
      </c>
      <c r="C73" s="17" t="s">
        <v>151</v>
      </c>
      <c r="D73" s="17" t="s">
        <v>526</v>
      </c>
      <c r="E73" s="17" t="s">
        <v>527</v>
      </c>
      <c r="F73" s="17" t="s">
        <v>528</v>
      </c>
      <c r="G73" s="20">
        <v>1346.08</v>
      </c>
      <c r="H73" s="20">
        <v>215.37</v>
      </c>
      <c r="I73" s="20">
        <f t="shared" si="1"/>
        <v>1561.4499999999998</v>
      </c>
      <c r="J73" s="21">
        <f t="shared" si="2"/>
        <v>1561.4499999999998</v>
      </c>
      <c r="K73" s="22"/>
      <c r="L73" s="17" t="s">
        <v>463</v>
      </c>
      <c r="M73" s="11">
        <v>1</v>
      </c>
      <c r="N73" s="17" t="s">
        <v>464</v>
      </c>
      <c r="O73" s="23"/>
      <c r="P73" s="17" t="s">
        <v>465</v>
      </c>
      <c r="Q73" s="17" t="s">
        <v>310</v>
      </c>
      <c r="R73" s="17" t="s">
        <v>501</v>
      </c>
      <c r="S73" s="24" t="s">
        <v>472</v>
      </c>
      <c r="T73" s="24"/>
    </row>
    <row r="74" spans="1:20" x14ac:dyDescent="0.35">
      <c r="A74" s="12">
        <v>8434</v>
      </c>
      <c r="B74" s="13">
        <v>46262.688888888901</v>
      </c>
      <c r="C74" s="17" t="s">
        <v>194</v>
      </c>
      <c r="D74" s="17" t="s">
        <v>15</v>
      </c>
      <c r="E74" s="17" t="s">
        <v>15</v>
      </c>
      <c r="F74" s="17" t="s">
        <v>528</v>
      </c>
      <c r="G74" s="20">
        <v>590.52</v>
      </c>
      <c r="H74" s="20">
        <v>94.48</v>
      </c>
      <c r="I74" s="20">
        <f t="shared" si="1"/>
        <v>685</v>
      </c>
      <c r="J74" s="21">
        <f t="shared" si="2"/>
        <v>685</v>
      </c>
      <c r="K74" s="22"/>
      <c r="L74" s="17" t="s">
        <v>463</v>
      </c>
      <c r="M74" s="11">
        <v>1</v>
      </c>
      <c r="N74" s="17" t="s">
        <v>464</v>
      </c>
      <c r="O74" s="23"/>
      <c r="P74" s="17" t="s">
        <v>519</v>
      </c>
      <c r="Q74" s="17" t="s">
        <v>553</v>
      </c>
      <c r="R74" s="17" t="s">
        <v>501</v>
      </c>
      <c r="S74" s="24"/>
      <c r="T74" s="24" t="s">
        <v>506</v>
      </c>
    </row>
    <row r="75" spans="1:20" x14ac:dyDescent="0.35">
      <c r="A75" s="12">
        <v>8435</v>
      </c>
      <c r="B75" s="13">
        <v>46262.692106481503</v>
      </c>
      <c r="C75" s="17" t="s">
        <v>194</v>
      </c>
      <c r="D75" s="17" t="s">
        <v>15</v>
      </c>
      <c r="E75" s="17" t="s">
        <v>15</v>
      </c>
      <c r="F75" s="17" t="s">
        <v>528</v>
      </c>
      <c r="G75" s="20">
        <v>1715.45</v>
      </c>
      <c r="H75" s="20">
        <v>274.47000000000003</v>
      </c>
      <c r="I75" s="20">
        <f t="shared" si="1"/>
        <v>1989.92</v>
      </c>
      <c r="J75" s="21">
        <f t="shared" si="2"/>
        <v>1989.92</v>
      </c>
      <c r="K75" s="22"/>
      <c r="L75" s="17" t="s">
        <v>463</v>
      </c>
      <c r="M75" s="11">
        <v>1</v>
      </c>
      <c r="N75" s="17" t="s">
        <v>464</v>
      </c>
      <c r="O75" s="23"/>
      <c r="P75" s="17" t="s">
        <v>519</v>
      </c>
      <c r="Q75" s="17" t="s">
        <v>553</v>
      </c>
      <c r="R75" s="17" t="s">
        <v>501</v>
      </c>
      <c r="S75" s="24" t="s">
        <v>472</v>
      </c>
      <c r="T75" s="24"/>
    </row>
    <row r="76" spans="1:20" x14ac:dyDescent="0.35">
      <c r="A76" s="12">
        <v>8436</v>
      </c>
      <c r="B76" s="13">
        <v>46262.695937500001</v>
      </c>
      <c r="C76" s="17" t="s">
        <v>80</v>
      </c>
      <c r="D76" s="17" t="s">
        <v>526</v>
      </c>
      <c r="E76" s="17" t="s">
        <v>527</v>
      </c>
      <c r="F76" s="17" t="s">
        <v>528</v>
      </c>
      <c r="G76" s="20">
        <v>3617.6</v>
      </c>
      <c r="H76" s="20">
        <v>578.82000000000005</v>
      </c>
      <c r="I76" s="20">
        <f t="shared" si="1"/>
        <v>4196.42</v>
      </c>
      <c r="J76" s="21">
        <f t="shared" si="2"/>
        <v>0</v>
      </c>
      <c r="K76" s="22">
        <v>4196.42</v>
      </c>
      <c r="L76" s="17" t="s">
        <v>463</v>
      </c>
      <c r="M76" s="11">
        <v>1</v>
      </c>
      <c r="N76" s="17"/>
      <c r="O76" s="23"/>
      <c r="P76" s="17" t="s">
        <v>519</v>
      </c>
      <c r="Q76" s="17" t="s">
        <v>475</v>
      </c>
      <c r="R76" s="17" t="s">
        <v>554</v>
      </c>
      <c r="S76" s="24"/>
      <c r="T76" s="24" t="s">
        <v>506</v>
      </c>
    </row>
    <row r="77" spans="1:20" x14ac:dyDescent="0.35">
      <c r="A77" s="12">
        <v>8437</v>
      </c>
      <c r="B77" s="13">
        <v>46265.483495370398</v>
      </c>
      <c r="C77" s="17" t="s">
        <v>14</v>
      </c>
      <c r="D77" s="17" t="s">
        <v>15</v>
      </c>
      <c r="E77" s="17" t="s">
        <v>15</v>
      </c>
      <c r="F77" s="17" t="s">
        <v>528</v>
      </c>
      <c r="G77" s="20">
        <v>2042.65</v>
      </c>
      <c r="H77" s="20">
        <v>326.83</v>
      </c>
      <c r="I77" s="20">
        <f t="shared" si="1"/>
        <v>2369.48</v>
      </c>
      <c r="J77" s="21">
        <f t="shared" si="2"/>
        <v>2369.48</v>
      </c>
      <c r="K77" s="22"/>
      <c r="L77" s="17" t="s">
        <v>463</v>
      </c>
      <c r="M77" s="11">
        <v>1</v>
      </c>
      <c r="N77" s="17" t="s">
        <v>464</v>
      </c>
      <c r="O77" s="23"/>
      <c r="P77" s="17" t="s">
        <v>465</v>
      </c>
      <c r="Q77" s="17" t="s">
        <v>470</v>
      </c>
      <c r="R77" s="17" t="s">
        <v>464</v>
      </c>
      <c r="S77" s="24" t="s">
        <v>472</v>
      </c>
      <c r="T77" s="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E4FB-5FD4-436E-A8F2-43EF9FB8D050}">
  <dimension ref="A1:U92"/>
  <sheetViews>
    <sheetView topLeftCell="H1" workbookViewId="0">
      <selection activeCell="S1" sqref="S1:S1048576"/>
    </sheetView>
  </sheetViews>
  <sheetFormatPr baseColWidth="10" defaultRowHeight="14.5" x14ac:dyDescent="0.35"/>
  <cols>
    <col min="6" max="6" width="15.7265625" customWidth="1"/>
    <col min="7" max="7" width="14.54296875" customWidth="1"/>
    <col min="8" max="8" width="14.26953125" customWidth="1"/>
    <col min="9" max="9" width="14.1796875" customWidth="1"/>
    <col min="10" max="10" width="8.6328125" bestFit="1" customWidth="1"/>
    <col min="11" max="11" width="11.08984375" bestFit="1" customWidth="1"/>
    <col min="12" max="12" width="10.6328125" bestFit="1" customWidth="1"/>
    <col min="13" max="13" width="10.08984375" bestFit="1" customWidth="1"/>
    <col min="14" max="14" width="11.453125" bestFit="1" customWidth="1"/>
    <col min="15" max="15" width="11.08984375" bestFit="1" customWidth="1"/>
    <col min="16" max="16" width="10.26953125" bestFit="1" customWidth="1"/>
    <col min="17" max="17" width="10.6328125" bestFit="1" customWidth="1"/>
    <col min="18" max="18" width="8.81640625" bestFit="1" customWidth="1"/>
    <col min="19" max="19" width="89.90625" bestFit="1" customWidth="1"/>
    <col min="20" max="20" width="9.90625" bestFit="1" customWidth="1"/>
    <col min="21" max="21" width="13.26953125" bestFit="1" customWidth="1"/>
  </cols>
  <sheetData>
    <row r="1" spans="1:21" ht="48" customHeight="1" x14ac:dyDescent="0.35">
      <c r="A1" s="25" t="s">
        <v>555</v>
      </c>
      <c r="B1" s="26" t="s">
        <v>556</v>
      </c>
      <c r="C1" s="27" t="s">
        <v>557</v>
      </c>
      <c r="D1" s="27" t="s">
        <v>3</v>
      </c>
      <c r="E1" s="25" t="s">
        <v>558</v>
      </c>
      <c r="F1" s="28" t="s">
        <v>559</v>
      </c>
      <c r="G1" s="29" t="s">
        <v>560</v>
      </c>
      <c r="H1" s="28" t="s">
        <v>561</v>
      </c>
      <c r="I1" s="28" t="s">
        <v>562</v>
      </c>
      <c r="J1" s="28" t="s">
        <v>563</v>
      </c>
      <c r="K1" s="28" t="s">
        <v>564</v>
      </c>
      <c r="L1" s="29" t="s">
        <v>565</v>
      </c>
      <c r="M1" s="29" t="s">
        <v>566</v>
      </c>
      <c r="N1" s="29" t="s">
        <v>567</v>
      </c>
      <c r="O1" s="30" t="s">
        <v>568</v>
      </c>
      <c r="P1" s="28" t="s">
        <v>569</v>
      </c>
      <c r="Q1" s="31" t="s">
        <v>570</v>
      </c>
      <c r="R1" s="32" t="s">
        <v>571</v>
      </c>
      <c r="S1" s="28" t="s">
        <v>572</v>
      </c>
      <c r="T1" s="29" t="s">
        <v>573</v>
      </c>
      <c r="U1" s="33" t="s">
        <v>574</v>
      </c>
    </row>
    <row r="2" spans="1:21" x14ac:dyDescent="0.35">
      <c r="A2" s="34">
        <v>176054</v>
      </c>
      <c r="B2" s="35">
        <v>45705.726481481499</v>
      </c>
      <c r="C2" s="36" t="s">
        <v>575</v>
      </c>
      <c r="D2" s="37" t="s">
        <v>576</v>
      </c>
      <c r="E2" s="38">
        <v>7995</v>
      </c>
      <c r="F2" s="39">
        <v>168200</v>
      </c>
      <c r="G2" s="40">
        <v>24012.720000000001</v>
      </c>
      <c r="H2" s="39">
        <v>0</v>
      </c>
      <c r="I2" s="39">
        <v>24012.720000000001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40">
        <f>H2+NH23+I2+J2+K2+L2+M2+N2</f>
        <v>24012.720000000001</v>
      </c>
      <c r="P2" s="41">
        <v>0</v>
      </c>
      <c r="Q2" s="42"/>
      <c r="R2" s="34"/>
      <c r="S2" s="43" t="s">
        <v>577</v>
      </c>
      <c r="T2" s="38" t="s">
        <v>578</v>
      </c>
      <c r="U2" s="44" t="s">
        <v>43</v>
      </c>
    </row>
    <row r="3" spans="1:21" x14ac:dyDescent="0.35">
      <c r="A3" s="45">
        <v>194561</v>
      </c>
      <c r="B3" s="46">
        <v>46205</v>
      </c>
      <c r="C3" s="47" t="s">
        <v>579</v>
      </c>
      <c r="D3" s="48" t="s">
        <v>580</v>
      </c>
      <c r="E3" s="45">
        <v>738</v>
      </c>
      <c r="F3" s="49">
        <v>19140</v>
      </c>
      <c r="G3" s="49">
        <v>6380</v>
      </c>
      <c r="H3" s="49">
        <v>6380</v>
      </c>
      <c r="I3" s="49">
        <v>0</v>
      </c>
      <c r="J3" s="49">
        <v>0</v>
      </c>
      <c r="K3" s="49"/>
      <c r="L3" s="39">
        <v>0</v>
      </c>
      <c r="M3" s="39">
        <v>0</v>
      </c>
      <c r="N3" s="39">
        <v>0</v>
      </c>
      <c r="O3" s="40">
        <f>H3+NH24+I3+J3+K3+L3+M3+N3</f>
        <v>6380</v>
      </c>
      <c r="P3" s="49">
        <v>0</v>
      </c>
      <c r="Q3" s="47"/>
      <c r="R3" s="47"/>
      <c r="S3" s="47" t="s">
        <v>581</v>
      </c>
      <c r="T3" s="38" t="s">
        <v>582</v>
      </c>
      <c r="U3" s="44" t="s">
        <v>43</v>
      </c>
    </row>
    <row r="4" spans="1:21" x14ac:dyDescent="0.35">
      <c r="A4" s="45">
        <v>193586</v>
      </c>
      <c r="B4" s="46">
        <v>45824</v>
      </c>
      <c r="C4" s="50" t="s">
        <v>583</v>
      </c>
      <c r="D4" s="36" t="s">
        <v>584</v>
      </c>
      <c r="E4" s="45">
        <v>415371</v>
      </c>
      <c r="F4" s="51">
        <v>130954.16</v>
      </c>
      <c r="G4" s="51">
        <v>2487.0500000000002</v>
      </c>
      <c r="H4" s="51">
        <v>0</v>
      </c>
      <c r="I4" s="49">
        <v>0</v>
      </c>
      <c r="J4" s="49">
        <v>0</v>
      </c>
      <c r="K4" s="51">
        <v>0</v>
      </c>
      <c r="L4" s="51">
        <v>2487.0500000000002</v>
      </c>
      <c r="M4" s="51"/>
      <c r="N4" s="51"/>
      <c r="O4" s="52">
        <f>H4+NH31+I4+J4+K4+L4+M4+N4</f>
        <v>2487.0500000000002</v>
      </c>
      <c r="P4" s="49">
        <v>0</v>
      </c>
      <c r="Q4" s="46"/>
      <c r="R4" s="47"/>
      <c r="S4" s="47" t="s">
        <v>581</v>
      </c>
      <c r="T4" s="38" t="s">
        <v>578</v>
      </c>
      <c r="U4" s="44" t="s">
        <v>585</v>
      </c>
    </row>
    <row r="5" spans="1:21" x14ac:dyDescent="0.35">
      <c r="A5" s="45">
        <v>194575</v>
      </c>
      <c r="B5" s="46">
        <v>46210</v>
      </c>
      <c r="C5" s="47" t="s">
        <v>586</v>
      </c>
      <c r="D5" s="36" t="s">
        <v>584</v>
      </c>
      <c r="E5" s="45">
        <v>417902</v>
      </c>
      <c r="F5" s="49">
        <v>91494.92</v>
      </c>
      <c r="G5" s="49">
        <v>411.6</v>
      </c>
      <c r="H5" s="49">
        <v>411.6</v>
      </c>
      <c r="I5" s="49">
        <v>0</v>
      </c>
      <c r="J5" s="49">
        <v>0</v>
      </c>
      <c r="K5" s="51">
        <v>0</v>
      </c>
      <c r="L5" s="39">
        <v>0</v>
      </c>
      <c r="M5" s="39">
        <v>0</v>
      </c>
      <c r="N5" s="39">
        <v>0</v>
      </c>
      <c r="O5" s="52">
        <f>H5+NH33+I5+J5+K5+L5+M5+N5</f>
        <v>411.6</v>
      </c>
      <c r="P5" s="49">
        <v>0</v>
      </c>
      <c r="Q5" s="47"/>
      <c r="R5" s="47"/>
      <c r="S5" s="47" t="s">
        <v>581</v>
      </c>
      <c r="T5" s="38" t="s">
        <v>578</v>
      </c>
      <c r="U5" s="44" t="s">
        <v>585</v>
      </c>
    </row>
    <row r="6" spans="1:21" x14ac:dyDescent="0.35">
      <c r="A6" s="45">
        <v>195198</v>
      </c>
      <c r="B6" s="46">
        <v>46228</v>
      </c>
      <c r="C6" s="47" t="s">
        <v>587</v>
      </c>
      <c r="D6" s="36" t="s">
        <v>584</v>
      </c>
      <c r="E6" s="45">
        <v>420040</v>
      </c>
      <c r="F6" s="49">
        <v>206999.02</v>
      </c>
      <c r="G6" s="49">
        <v>243.38</v>
      </c>
      <c r="H6" s="51">
        <v>0</v>
      </c>
      <c r="I6" s="49">
        <v>0</v>
      </c>
      <c r="J6" s="49">
        <v>0</v>
      </c>
      <c r="K6" s="47">
        <v>243.38</v>
      </c>
      <c r="L6" s="39">
        <v>0</v>
      </c>
      <c r="M6" s="39">
        <v>0</v>
      </c>
      <c r="N6" s="39">
        <v>0</v>
      </c>
      <c r="O6" s="52">
        <f>H6+NH34+I6+J6+K6+L6+M6+N6</f>
        <v>243.38</v>
      </c>
      <c r="P6" s="49">
        <v>0</v>
      </c>
      <c r="Q6" s="47"/>
      <c r="R6" s="47"/>
      <c r="S6" s="47" t="s">
        <v>581</v>
      </c>
      <c r="T6" s="38" t="s">
        <v>578</v>
      </c>
      <c r="U6" s="44" t="s">
        <v>585</v>
      </c>
    </row>
    <row r="7" spans="1:21" x14ac:dyDescent="0.35">
      <c r="A7" s="45">
        <v>195358</v>
      </c>
      <c r="B7" s="46">
        <v>46231</v>
      </c>
      <c r="C7" s="47" t="s">
        <v>588</v>
      </c>
      <c r="D7" s="36" t="s">
        <v>584</v>
      </c>
      <c r="E7" s="45">
        <v>420222</v>
      </c>
      <c r="F7" s="49">
        <v>14805.88</v>
      </c>
      <c r="G7" s="49">
        <v>39.29</v>
      </c>
      <c r="H7" s="51">
        <v>0</v>
      </c>
      <c r="I7" s="49">
        <v>0</v>
      </c>
      <c r="J7" s="49">
        <v>0</v>
      </c>
      <c r="K7" s="49">
        <v>39.29</v>
      </c>
      <c r="L7" s="39">
        <v>0</v>
      </c>
      <c r="M7" s="39">
        <v>0</v>
      </c>
      <c r="N7" s="39">
        <v>0</v>
      </c>
      <c r="O7" s="52">
        <f>H7+NH35+I7+J7+K7+L7+M7+N7</f>
        <v>39.29</v>
      </c>
      <c r="P7" s="49">
        <v>0</v>
      </c>
      <c r="Q7" s="47"/>
      <c r="R7" s="47"/>
      <c r="S7" s="47" t="s">
        <v>581</v>
      </c>
      <c r="T7" s="38" t="s">
        <v>578</v>
      </c>
      <c r="U7" s="44" t="s">
        <v>585</v>
      </c>
    </row>
    <row r="8" spans="1:21" x14ac:dyDescent="0.35">
      <c r="A8" s="45">
        <v>195396</v>
      </c>
      <c r="B8" s="46">
        <v>46232</v>
      </c>
      <c r="C8" s="47" t="s">
        <v>589</v>
      </c>
      <c r="D8" s="36" t="s">
        <v>584</v>
      </c>
      <c r="E8" s="45">
        <v>420372</v>
      </c>
      <c r="F8" s="49">
        <v>10718.79</v>
      </c>
      <c r="G8" s="49">
        <v>13.3</v>
      </c>
      <c r="H8" s="51">
        <v>0</v>
      </c>
      <c r="I8" s="49">
        <v>0</v>
      </c>
      <c r="J8" s="49">
        <v>0</v>
      </c>
      <c r="K8" s="49">
        <v>13.3</v>
      </c>
      <c r="L8" s="39">
        <v>0</v>
      </c>
      <c r="M8" s="39">
        <v>0</v>
      </c>
      <c r="N8" s="39">
        <v>0</v>
      </c>
      <c r="O8" s="52">
        <f>H8+NH36+I8+J8+K8+L8+M8+N8</f>
        <v>13.3</v>
      </c>
      <c r="P8" s="49">
        <v>0</v>
      </c>
      <c r="Q8" s="47"/>
      <c r="R8" s="47"/>
      <c r="S8" s="47" t="s">
        <v>581</v>
      </c>
      <c r="T8" s="38" t="s">
        <v>578</v>
      </c>
      <c r="U8" s="44" t="s">
        <v>585</v>
      </c>
    </row>
    <row r="9" spans="1:21" x14ac:dyDescent="0.35">
      <c r="A9" s="45">
        <v>195975</v>
      </c>
      <c r="B9" s="46">
        <v>46244</v>
      </c>
      <c r="C9" s="47" t="s">
        <v>590</v>
      </c>
      <c r="D9" s="36" t="s">
        <v>584</v>
      </c>
      <c r="E9" s="45">
        <v>421809</v>
      </c>
      <c r="F9" s="49">
        <v>56768.76</v>
      </c>
      <c r="G9" s="49">
        <v>58.72</v>
      </c>
      <c r="H9" s="51">
        <v>0</v>
      </c>
      <c r="I9" s="49">
        <v>0</v>
      </c>
      <c r="J9" s="49">
        <v>0</v>
      </c>
      <c r="K9" s="49">
        <v>58.72</v>
      </c>
      <c r="L9" s="39">
        <v>0</v>
      </c>
      <c r="M9" s="39">
        <v>0</v>
      </c>
      <c r="N9" s="39">
        <v>0</v>
      </c>
      <c r="O9" s="52">
        <f>H9+NH37+I9+J9+K9+L9+M9+N9</f>
        <v>58.72</v>
      </c>
      <c r="P9" s="49">
        <v>0</v>
      </c>
      <c r="Q9" s="47"/>
      <c r="R9" s="47"/>
      <c r="S9" s="47" t="s">
        <v>581</v>
      </c>
      <c r="T9" s="38" t="s">
        <v>578</v>
      </c>
      <c r="U9" s="44" t="s">
        <v>585</v>
      </c>
    </row>
    <row r="10" spans="1:21" x14ac:dyDescent="0.35">
      <c r="A10" s="45">
        <v>196065</v>
      </c>
      <c r="B10" s="46">
        <v>46251</v>
      </c>
      <c r="C10" s="47" t="s">
        <v>591</v>
      </c>
      <c r="D10" s="36" t="s">
        <v>584</v>
      </c>
      <c r="E10" s="45">
        <v>422589</v>
      </c>
      <c r="F10" s="49">
        <v>34517.699999999997</v>
      </c>
      <c r="G10" s="49">
        <v>17.28</v>
      </c>
      <c r="H10" s="51">
        <v>0</v>
      </c>
      <c r="I10" s="49">
        <v>0</v>
      </c>
      <c r="J10" s="49">
        <v>0</v>
      </c>
      <c r="K10" s="49">
        <v>17.28</v>
      </c>
      <c r="L10" s="39">
        <v>0</v>
      </c>
      <c r="M10" s="39">
        <v>0</v>
      </c>
      <c r="N10" s="39">
        <v>0</v>
      </c>
      <c r="O10" s="52">
        <f t="shared" ref="O10:O16" si="0">H10+NH39+I10+J10+K10+L10+M10+N10</f>
        <v>17.28</v>
      </c>
      <c r="P10" s="49">
        <v>0</v>
      </c>
      <c r="Q10" s="47"/>
      <c r="R10" s="47"/>
      <c r="S10" s="47" t="s">
        <v>581</v>
      </c>
      <c r="T10" s="38" t="s">
        <v>578</v>
      </c>
      <c r="U10" s="44" t="s">
        <v>585</v>
      </c>
    </row>
    <row r="11" spans="1:21" x14ac:dyDescent="0.35">
      <c r="A11" s="45">
        <v>196199</v>
      </c>
      <c r="B11" s="46">
        <v>46256</v>
      </c>
      <c r="C11" s="49" t="s">
        <v>592</v>
      </c>
      <c r="D11" s="36" t="s">
        <v>584</v>
      </c>
      <c r="E11" s="45">
        <v>423229</v>
      </c>
      <c r="F11" s="49">
        <v>45732.34</v>
      </c>
      <c r="G11" s="49">
        <v>200.22</v>
      </c>
      <c r="H11" s="51">
        <v>0</v>
      </c>
      <c r="I11" s="49">
        <v>0</v>
      </c>
      <c r="J11" s="49">
        <v>0</v>
      </c>
      <c r="K11" s="49">
        <v>200.22</v>
      </c>
      <c r="L11" s="39">
        <v>0</v>
      </c>
      <c r="M11" s="39">
        <v>0</v>
      </c>
      <c r="N11" s="39">
        <v>0</v>
      </c>
      <c r="O11" s="52">
        <f t="shared" si="0"/>
        <v>200.22</v>
      </c>
      <c r="P11" s="49">
        <v>0</v>
      </c>
      <c r="Q11" s="47"/>
      <c r="R11" s="47"/>
      <c r="S11" s="47" t="s">
        <v>581</v>
      </c>
      <c r="T11" s="38" t="s">
        <v>578</v>
      </c>
      <c r="U11" s="44" t="s">
        <v>585</v>
      </c>
    </row>
    <row r="12" spans="1:21" x14ac:dyDescent="0.35">
      <c r="A12" s="45">
        <v>196258</v>
      </c>
      <c r="B12" s="46">
        <v>46258</v>
      </c>
      <c r="C12" s="47" t="s">
        <v>593</v>
      </c>
      <c r="D12" s="36" t="s">
        <v>584</v>
      </c>
      <c r="E12" s="45">
        <v>423362</v>
      </c>
      <c r="F12" s="49">
        <v>10964.62</v>
      </c>
      <c r="G12" s="49">
        <v>438.58480000000003</v>
      </c>
      <c r="H12" s="51">
        <v>0</v>
      </c>
      <c r="I12" s="49">
        <v>0</v>
      </c>
      <c r="J12" s="49">
        <v>0</v>
      </c>
      <c r="K12" s="49">
        <v>0</v>
      </c>
      <c r="L12" s="39">
        <v>438.58480000000003</v>
      </c>
      <c r="M12" s="39">
        <v>0</v>
      </c>
      <c r="N12" s="39">
        <v>0</v>
      </c>
      <c r="O12" s="52">
        <f t="shared" si="0"/>
        <v>438.58480000000003</v>
      </c>
      <c r="P12" s="49">
        <v>0</v>
      </c>
      <c r="Q12" s="47"/>
      <c r="R12" s="47"/>
      <c r="S12" s="47" t="s">
        <v>581</v>
      </c>
      <c r="T12" s="38" t="s">
        <v>578</v>
      </c>
      <c r="U12" s="44" t="s">
        <v>585</v>
      </c>
    </row>
    <row r="13" spans="1:21" x14ac:dyDescent="0.35">
      <c r="A13" s="45">
        <v>196380</v>
      </c>
      <c r="B13" s="46">
        <v>46258</v>
      </c>
      <c r="C13" s="47" t="s">
        <v>594</v>
      </c>
      <c r="D13" s="36" t="s">
        <v>584</v>
      </c>
      <c r="E13" s="45">
        <v>423294</v>
      </c>
      <c r="F13" s="49">
        <v>20654.349999999999</v>
      </c>
      <c r="G13" s="49">
        <v>826.17399999999998</v>
      </c>
      <c r="H13" s="51">
        <v>0</v>
      </c>
      <c r="I13" s="49">
        <v>0</v>
      </c>
      <c r="J13" s="49">
        <v>0</v>
      </c>
      <c r="K13" s="49">
        <v>0</v>
      </c>
      <c r="L13" s="39">
        <v>826.17399999999998</v>
      </c>
      <c r="M13" s="39">
        <v>0</v>
      </c>
      <c r="N13" s="39">
        <v>0</v>
      </c>
      <c r="O13" s="52">
        <f t="shared" si="0"/>
        <v>826.17399999999998</v>
      </c>
      <c r="P13" s="49">
        <v>0</v>
      </c>
      <c r="Q13" s="47"/>
      <c r="R13" s="47"/>
      <c r="S13" s="47" t="s">
        <v>581</v>
      </c>
      <c r="T13" s="38" t="s">
        <v>578</v>
      </c>
      <c r="U13" s="44" t="s">
        <v>585</v>
      </c>
    </row>
    <row r="14" spans="1:21" x14ac:dyDescent="0.35">
      <c r="A14" s="45">
        <v>196539</v>
      </c>
      <c r="B14" s="46">
        <v>46258</v>
      </c>
      <c r="C14" s="47" t="s">
        <v>595</v>
      </c>
      <c r="D14" s="36" t="s">
        <v>584</v>
      </c>
      <c r="E14" s="45">
        <v>423335</v>
      </c>
      <c r="F14" s="49">
        <v>14141.87</v>
      </c>
      <c r="G14" s="49">
        <v>565.6748</v>
      </c>
      <c r="H14" s="51">
        <v>0</v>
      </c>
      <c r="I14" s="49">
        <v>0</v>
      </c>
      <c r="J14" s="49">
        <v>0</v>
      </c>
      <c r="K14" s="49">
        <v>0</v>
      </c>
      <c r="L14" s="39">
        <v>565.6748</v>
      </c>
      <c r="M14" s="39">
        <v>0</v>
      </c>
      <c r="N14" s="39">
        <v>0</v>
      </c>
      <c r="O14" s="52">
        <f t="shared" si="0"/>
        <v>565.6748</v>
      </c>
      <c r="P14" s="49">
        <v>0</v>
      </c>
      <c r="Q14" s="47"/>
      <c r="R14" s="47"/>
      <c r="S14" s="47" t="s">
        <v>581</v>
      </c>
      <c r="T14" s="38" t="s">
        <v>578</v>
      </c>
      <c r="U14" s="44" t="s">
        <v>585</v>
      </c>
    </row>
    <row r="15" spans="1:21" x14ac:dyDescent="0.35">
      <c r="A15" s="45">
        <v>195444</v>
      </c>
      <c r="B15" s="46">
        <v>46235</v>
      </c>
      <c r="C15" s="47" t="s">
        <v>596</v>
      </c>
      <c r="D15" s="36" t="s">
        <v>597</v>
      </c>
      <c r="E15" s="45">
        <v>629612</v>
      </c>
      <c r="F15" s="49">
        <v>681710.81</v>
      </c>
      <c r="G15" s="49">
        <v>34081.821000000004</v>
      </c>
      <c r="H15" s="51">
        <v>0</v>
      </c>
      <c r="I15" s="49">
        <v>0</v>
      </c>
      <c r="J15" s="49">
        <v>0</v>
      </c>
      <c r="K15" s="49">
        <v>0</v>
      </c>
      <c r="L15" s="39">
        <v>34081.821000000004</v>
      </c>
      <c r="M15" s="39">
        <v>0</v>
      </c>
      <c r="N15" s="39">
        <v>0</v>
      </c>
      <c r="O15" s="52">
        <f t="shared" si="0"/>
        <v>34081.821000000004</v>
      </c>
      <c r="P15" s="49">
        <v>0</v>
      </c>
      <c r="Q15" s="47"/>
      <c r="R15" s="47"/>
      <c r="S15" s="47" t="s">
        <v>581</v>
      </c>
      <c r="T15" s="38" t="s">
        <v>598</v>
      </c>
      <c r="U15" s="47"/>
    </row>
    <row r="16" spans="1:21" x14ac:dyDescent="0.35">
      <c r="A16" s="45">
        <v>195446</v>
      </c>
      <c r="B16" s="46">
        <v>46235</v>
      </c>
      <c r="C16" s="47" t="s">
        <v>599</v>
      </c>
      <c r="D16" s="36" t="s">
        <v>597</v>
      </c>
      <c r="E16" s="45">
        <v>629610</v>
      </c>
      <c r="F16" s="49">
        <v>800039.24</v>
      </c>
      <c r="G16" s="49">
        <v>93204.571460000006</v>
      </c>
      <c r="H16" s="51">
        <v>0</v>
      </c>
      <c r="I16" s="49">
        <v>0</v>
      </c>
      <c r="J16" s="49">
        <v>0</v>
      </c>
      <c r="K16" s="49">
        <v>0</v>
      </c>
      <c r="L16" s="39">
        <v>37201.824660000006</v>
      </c>
      <c r="M16" s="39">
        <v>0</v>
      </c>
      <c r="N16" s="39">
        <v>56002.746800000008</v>
      </c>
      <c r="O16" s="52">
        <f t="shared" si="0"/>
        <v>93204.571460000006</v>
      </c>
      <c r="P16" s="49">
        <v>0</v>
      </c>
      <c r="Q16" s="47"/>
      <c r="R16" s="47"/>
      <c r="S16" s="47" t="s">
        <v>581</v>
      </c>
      <c r="T16" s="38" t="s">
        <v>598</v>
      </c>
      <c r="U16" s="47"/>
    </row>
    <row r="17" spans="1:21" x14ac:dyDescent="0.35">
      <c r="A17" s="45">
        <v>195445</v>
      </c>
      <c r="B17" s="46">
        <v>46235</v>
      </c>
      <c r="C17" s="47" t="s">
        <v>600</v>
      </c>
      <c r="D17" s="36" t="s">
        <v>597</v>
      </c>
      <c r="E17" s="45">
        <v>629603</v>
      </c>
      <c r="F17" s="49">
        <v>26627.599999999999</v>
      </c>
      <c r="G17" s="49">
        <v>2596.1909999999998</v>
      </c>
      <c r="H17" s="51">
        <v>0</v>
      </c>
      <c r="I17" s="49">
        <v>0</v>
      </c>
      <c r="J17" s="49">
        <v>0</v>
      </c>
      <c r="K17" s="49">
        <v>0</v>
      </c>
      <c r="L17" s="39">
        <v>1264.8109999999999</v>
      </c>
      <c r="M17" s="39">
        <v>0</v>
      </c>
      <c r="N17" s="39">
        <v>1331.38</v>
      </c>
      <c r="O17" s="52">
        <f t="shared" ref="O17:O22" si="1">H17+NH45+I17+J17+K17+L17+M17+N17</f>
        <v>2596.1909999999998</v>
      </c>
      <c r="P17" s="49">
        <v>0</v>
      </c>
      <c r="Q17" s="47"/>
      <c r="R17" s="47"/>
      <c r="S17" s="47" t="s">
        <v>581</v>
      </c>
      <c r="T17" s="38" t="s">
        <v>598</v>
      </c>
      <c r="U17" s="47"/>
    </row>
    <row r="18" spans="1:21" x14ac:dyDescent="0.35">
      <c r="A18" s="45">
        <v>196134</v>
      </c>
      <c r="B18" s="46">
        <v>46253</v>
      </c>
      <c r="C18" s="47" t="s">
        <v>601</v>
      </c>
      <c r="D18" s="36" t="s">
        <v>597</v>
      </c>
      <c r="E18" s="45">
        <v>634887</v>
      </c>
      <c r="F18" s="49">
        <v>98466.37</v>
      </c>
      <c r="G18" s="49">
        <v>9600.4710750000013</v>
      </c>
      <c r="H18" s="51">
        <v>0</v>
      </c>
      <c r="I18" s="49">
        <v>0</v>
      </c>
      <c r="J18" s="49">
        <v>0</v>
      </c>
      <c r="K18" s="49">
        <v>0</v>
      </c>
      <c r="L18" s="39">
        <v>4677.1525750000001</v>
      </c>
      <c r="M18" s="39">
        <v>0</v>
      </c>
      <c r="N18" s="39">
        <v>4923.3185000000003</v>
      </c>
      <c r="O18" s="52">
        <f t="shared" si="1"/>
        <v>9600.4710750000013</v>
      </c>
      <c r="P18" s="49">
        <v>0</v>
      </c>
      <c r="Q18" s="47"/>
      <c r="R18" s="47"/>
      <c r="S18" s="47" t="s">
        <v>581</v>
      </c>
      <c r="T18" s="38" t="s">
        <v>598</v>
      </c>
      <c r="U18" s="47"/>
    </row>
    <row r="19" spans="1:21" x14ac:dyDescent="0.35">
      <c r="A19" s="45">
        <v>196135</v>
      </c>
      <c r="B19" s="46">
        <v>46253</v>
      </c>
      <c r="C19" s="47" t="s">
        <v>602</v>
      </c>
      <c r="D19" s="36" t="s">
        <v>597</v>
      </c>
      <c r="E19" s="45">
        <v>634904</v>
      </c>
      <c r="F19" s="49">
        <v>74545.75</v>
      </c>
      <c r="G19" s="49">
        <v>8335.0810399999991</v>
      </c>
      <c r="H19" s="51">
        <v>0</v>
      </c>
      <c r="I19" s="49">
        <v>0</v>
      </c>
      <c r="J19" s="49">
        <v>0</v>
      </c>
      <c r="K19" s="49">
        <v>0</v>
      </c>
      <c r="L19" s="39">
        <v>3326.8778399999997</v>
      </c>
      <c r="M19" s="39">
        <v>0</v>
      </c>
      <c r="N19" s="39">
        <v>5008.2031999999999</v>
      </c>
      <c r="O19" s="52">
        <f t="shared" si="1"/>
        <v>8335.0810399999991</v>
      </c>
      <c r="P19" s="49">
        <v>0</v>
      </c>
      <c r="Q19" s="47"/>
      <c r="R19" s="47"/>
      <c r="S19" s="47" t="s">
        <v>581</v>
      </c>
      <c r="T19" s="38" t="s">
        <v>598</v>
      </c>
      <c r="U19" s="47"/>
    </row>
    <row r="20" spans="1:21" x14ac:dyDescent="0.35">
      <c r="A20" s="45">
        <v>196136</v>
      </c>
      <c r="B20" s="46">
        <v>46253</v>
      </c>
      <c r="C20" s="47" t="s">
        <v>603</v>
      </c>
      <c r="D20" s="36" t="s">
        <v>597</v>
      </c>
      <c r="E20" s="45">
        <v>634905</v>
      </c>
      <c r="F20" s="49">
        <v>683989.59</v>
      </c>
      <c r="G20" s="49">
        <v>79684.787234999996</v>
      </c>
      <c r="H20" s="51">
        <v>0</v>
      </c>
      <c r="I20" s="49">
        <v>0</v>
      </c>
      <c r="J20" s="49">
        <v>0</v>
      </c>
      <c r="K20" s="49">
        <v>0</v>
      </c>
      <c r="L20" s="39">
        <v>31805.515934999999</v>
      </c>
      <c r="M20" s="39">
        <v>0</v>
      </c>
      <c r="N20" s="39">
        <v>47879.2713</v>
      </c>
      <c r="O20" s="52">
        <f t="shared" si="1"/>
        <v>79684.787234999996</v>
      </c>
      <c r="P20" s="49">
        <v>0</v>
      </c>
      <c r="Q20" s="47"/>
      <c r="R20" s="47"/>
      <c r="S20" s="47" t="s">
        <v>581</v>
      </c>
      <c r="T20" s="38" t="s">
        <v>598</v>
      </c>
      <c r="U20" s="47"/>
    </row>
    <row r="21" spans="1:21" x14ac:dyDescent="0.35">
      <c r="A21" s="45">
        <v>196137</v>
      </c>
      <c r="B21" s="46">
        <v>46253</v>
      </c>
      <c r="C21" s="47" t="s">
        <v>604</v>
      </c>
      <c r="D21" s="36" t="s">
        <v>597</v>
      </c>
      <c r="E21" s="45">
        <v>634946</v>
      </c>
      <c r="F21" s="49">
        <v>340058.64</v>
      </c>
      <c r="G21" s="49">
        <v>16999.21</v>
      </c>
      <c r="H21" s="51">
        <v>0</v>
      </c>
      <c r="I21" s="49">
        <v>0</v>
      </c>
      <c r="J21" s="49">
        <v>0</v>
      </c>
      <c r="K21" s="49">
        <v>0</v>
      </c>
      <c r="L21" s="39">
        <v>16999.212500000001</v>
      </c>
      <c r="M21" s="39">
        <v>0</v>
      </c>
      <c r="N21" s="39"/>
      <c r="O21" s="52">
        <f t="shared" si="1"/>
        <v>16999.212500000001</v>
      </c>
      <c r="P21" s="49">
        <v>0</v>
      </c>
      <c r="Q21" s="47"/>
      <c r="R21" s="47"/>
      <c r="S21" s="47" t="s">
        <v>581</v>
      </c>
      <c r="T21" s="38" t="s">
        <v>598</v>
      </c>
      <c r="U21" s="47"/>
    </row>
    <row r="22" spans="1:21" x14ac:dyDescent="0.35">
      <c r="A22" s="45">
        <v>196306</v>
      </c>
      <c r="B22" s="46">
        <v>46258</v>
      </c>
      <c r="C22" s="47" t="s">
        <v>605</v>
      </c>
      <c r="D22" s="36" t="s">
        <v>597</v>
      </c>
      <c r="E22" s="45">
        <v>636322</v>
      </c>
      <c r="F22" s="49">
        <v>180228.35</v>
      </c>
      <c r="G22" s="49">
        <v>17572.264125000002</v>
      </c>
      <c r="H22" s="51">
        <v>0</v>
      </c>
      <c r="I22" s="49">
        <v>0</v>
      </c>
      <c r="J22" s="49">
        <v>0</v>
      </c>
      <c r="K22" s="49">
        <v>0</v>
      </c>
      <c r="L22" s="39">
        <v>8560.8466250000001</v>
      </c>
      <c r="M22" s="39">
        <v>0</v>
      </c>
      <c r="N22" s="39">
        <v>9011.4175000000014</v>
      </c>
      <c r="O22" s="52">
        <f t="shared" si="1"/>
        <v>17572.264125000002</v>
      </c>
      <c r="P22" s="49">
        <v>0</v>
      </c>
      <c r="Q22" s="47"/>
      <c r="R22" s="47"/>
      <c r="S22" s="47" t="s">
        <v>581</v>
      </c>
      <c r="T22" s="38" t="s">
        <v>598</v>
      </c>
      <c r="U22" s="47"/>
    </row>
    <row r="23" spans="1:21" x14ac:dyDescent="0.35">
      <c r="A23" s="45">
        <v>193152</v>
      </c>
      <c r="B23" s="46">
        <v>46176</v>
      </c>
      <c r="C23" s="47" t="s">
        <v>606</v>
      </c>
      <c r="D23" s="36" t="s">
        <v>607</v>
      </c>
      <c r="E23" s="45">
        <v>4946</v>
      </c>
      <c r="F23" s="49">
        <v>632847.55000000005</v>
      </c>
      <c r="G23" s="49">
        <v>15.66</v>
      </c>
      <c r="H23" s="51">
        <v>0</v>
      </c>
      <c r="I23" s="49">
        <v>0</v>
      </c>
      <c r="J23" s="49">
        <v>0</v>
      </c>
      <c r="K23" s="49">
        <v>15.66</v>
      </c>
      <c r="L23" s="39"/>
      <c r="M23" s="39"/>
      <c r="N23" s="39"/>
      <c r="O23" s="52">
        <f>H23+NH50+I23+J23+K23+L23+M23+N23</f>
        <v>15.66</v>
      </c>
      <c r="P23" s="49"/>
      <c r="Q23" s="47"/>
      <c r="R23" s="47"/>
      <c r="S23" s="47" t="s">
        <v>608</v>
      </c>
      <c r="T23" s="38" t="s">
        <v>609</v>
      </c>
      <c r="U23" s="47"/>
    </row>
    <row r="24" spans="1:21" x14ac:dyDescent="0.35">
      <c r="A24" s="45">
        <v>188259</v>
      </c>
      <c r="B24" s="46">
        <v>46051.484039351897</v>
      </c>
      <c r="C24" s="47" t="s">
        <v>610</v>
      </c>
      <c r="D24" s="36" t="s">
        <v>611</v>
      </c>
      <c r="E24" s="45">
        <v>52237</v>
      </c>
      <c r="F24" s="49">
        <v>499583.09</v>
      </c>
      <c r="G24" s="49">
        <v>5854.98</v>
      </c>
      <c r="H24" s="51">
        <v>5854.98</v>
      </c>
      <c r="I24" s="49">
        <v>0</v>
      </c>
      <c r="J24" s="49">
        <v>0</v>
      </c>
      <c r="K24" s="49">
        <v>0</v>
      </c>
      <c r="L24" s="39">
        <v>0</v>
      </c>
      <c r="M24" s="39">
        <v>0</v>
      </c>
      <c r="N24" s="39">
        <v>0</v>
      </c>
      <c r="O24" s="52">
        <f>H24+NH51+I24+J24+K24+L24+M24+N24</f>
        <v>5854.98</v>
      </c>
      <c r="P24" s="49"/>
      <c r="Q24" s="47"/>
      <c r="R24" s="47"/>
      <c r="S24" s="47" t="s">
        <v>612</v>
      </c>
      <c r="T24" s="38" t="s">
        <v>582</v>
      </c>
      <c r="U24" s="47" t="s">
        <v>65</v>
      </c>
    </row>
    <row r="25" spans="1:21" x14ac:dyDescent="0.35">
      <c r="A25" s="45">
        <v>195508</v>
      </c>
      <c r="B25" s="46">
        <v>46234</v>
      </c>
      <c r="C25" s="47" t="s">
        <v>613</v>
      </c>
      <c r="D25" s="47" t="s">
        <v>614</v>
      </c>
      <c r="E25" s="45">
        <v>36502</v>
      </c>
      <c r="F25" s="49">
        <v>465706.21</v>
      </c>
      <c r="G25" s="49">
        <v>103599.48999999999</v>
      </c>
      <c r="H25" s="47"/>
      <c r="I25" s="49">
        <v>27.84</v>
      </c>
      <c r="J25" s="49">
        <v>0</v>
      </c>
      <c r="K25" s="49">
        <v>88483.87</v>
      </c>
      <c r="L25" s="39">
        <v>0</v>
      </c>
      <c r="M25" s="39">
        <v>15087.78</v>
      </c>
      <c r="N25" s="39">
        <v>0</v>
      </c>
      <c r="O25" s="52">
        <f>H25+NH52+I25+J25+K25+L25+M25+N25</f>
        <v>103599.48999999999</v>
      </c>
      <c r="P25" s="49"/>
      <c r="Q25" s="47"/>
      <c r="R25" s="47"/>
      <c r="S25" s="47" t="s">
        <v>615</v>
      </c>
      <c r="T25" s="38" t="s">
        <v>616</v>
      </c>
      <c r="U25" s="47" t="s">
        <v>70</v>
      </c>
    </row>
    <row r="26" spans="1:21" x14ac:dyDescent="0.35">
      <c r="A26" s="45">
        <v>184465</v>
      </c>
      <c r="B26" s="46">
        <v>45950.859201388899</v>
      </c>
      <c r="C26" s="47" t="s">
        <v>617</v>
      </c>
      <c r="D26" s="47" t="s">
        <v>618</v>
      </c>
      <c r="E26" s="53">
        <v>2502541</v>
      </c>
      <c r="F26" s="49">
        <v>252677.17</v>
      </c>
      <c r="G26" s="54">
        <v>1213</v>
      </c>
      <c r="H26" s="49">
        <v>0</v>
      </c>
      <c r="I26" s="39">
        <v>0</v>
      </c>
      <c r="J26" s="49">
        <v>0</v>
      </c>
      <c r="K26" s="49">
        <v>1213</v>
      </c>
      <c r="L26" s="49">
        <v>0</v>
      </c>
      <c r="M26" s="49">
        <v>0</v>
      </c>
      <c r="N26" s="55">
        <v>0</v>
      </c>
      <c r="O26" s="40">
        <f t="shared" ref="O26:O32" si="2">H26+NH46+I26+J26+K26+L26+M26+N26</f>
        <v>1213</v>
      </c>
      <c r="P26" s="49"/>
      <c r="Q26" s="56"/>
      <c r="R26" s="45"/>
      <c r="S26" s="47" t="s">
        <v>619</v>
      </c>
      <c r="T26" s="38" t="s">
        <v>578</v>
      </c>
      <c r="U26" s="44" t="s">
        <v>81</v>
      </c>
    </row>
    <row r="27" spans="1:21" x14ac:dyDescent="0.35">
      <c r="A27" s="45">
        <v>188128</v>
      </c>
      <c r="B27" s="46">
        <v>46053.539085648103</v>
      </c>
      <c r="C27" s="47" t="s">
        <v>620</v>
      </c>
      <c r="D27" s="47" t="s">
        <v>618</v>
      </c>
      <c r="E27" s="53">
        <v>2625431</v>
      </c>
      <c r="F27" s="49">
        <v>217004.3</v>
      </c>
      <c r="G27" s="54">
        <v>91.89</v>
      </c>
      <c r="H27" s="49">
        <v>91.89</v>
      </c>
      <c r="I27" s="39">
        <v>0</v>
      </c>
      <c r="J27" s="49">
        <v>0</v>
      </c>
      <c r="K27" s="49">
        <v>0</v>
      </c>
      <c r="L27" s="49">
        <v>0</v>
      </c>
      <c r="M27" s="49">
        <v>0</v>
      </c>
      <c r="N27" s="55">
        <v>0</v>
      </c>
      <c r="O27" s="40">
        <f t="shared" si="2"/>
        <v>91.89</v>
      </c>
      <c r="P27" s="49"/>
      <c r="Q27" s="56"/>
      <c r="R27" s="45"/>
      <c r="S27" s="47" t="s">
        <v>619</v>
      </c>
      <c r="T27" s="38" t="s">
        <v>578</v>
      </c>
      <c r="U27" s="44" t="s">
        <v>81</v>
      </c>
    </row>
    <row r="28" spans="1:21" x14ac:dyDescent="0.35">
      <c r="A28" s="45">
        <v>188746</v>
      </c>
      <c r="B28" s="46">
        <v>46053.579050925902</v>
      </c>
      <c r="C28" s="47" t="s">
        <v>621</v>
      </c>
      <c r="D28" s="47" t="s">
        <v>618</v>
      </c>
      <c r="E28" s="53">
        <v>2625557</v>
      </c>
      <c r="F28" s="49">
        <v>173704.03</v>
      </c>
      <c r="G28" s="54">
        <v>121.48</v>
      </c>
      <c r="H28" s="49">
        <v>121.48</v>
      </c>
      <c r="I28" s="39">
        <v>0</v>
      </c>
      <c r="J28" s="49">
        <v>0</v>
      </c>
      <c r="K28" s="49">
        <v>0</v>
      </c>
      <c r="L28" s="49">
        <v>0</v>
      </c>
      <c r="M28" s="49">
        <v>0</v>
      </c>
      <c r="N28" s="55">
        <v>0</v>
      </c>
      <c r="O28" s="40">
        <f t="shared" si="2"/>
        <v>121.48</v>
      </c>
      <c r="P28" s="49"/>
      <c r="Q28" s="56"/>
      <c r="R28" s="45"/>
      <c r="S28" s="47" t="s">
        <v>619</v>
      </c>
      <c r="T28" s="38" t="s">
        <v>578</v>
      </c>
      <c r="U28" s="44" t="s">
        <v>81</v>
      </c>
    </row>
    <row r="29" spans="1:21" x14ac:dyDescent="0.35">
      <c r="A29" s="45">
        <v>188622</v>
      </c>
      <c r="B29" s="46">
        <v>46065.762789351902</v>
      </c>
      <c r="C29" s="47" t="s">
        <v>622</v>
      </c>
      <c r="D29" s="47" t="s">
        <v>618</v>
      </c>
      <c r="E29" s="53">
        <v>2638808</v>
      </c>
      <c r="F29" s="49">
        <v>91225.49</v>
      </c>
      <c r="G29" s="54">
        <v>193.92</v>
      </c>
      <c r="H29" s="49">
        <v>193.92</v>
      </c>
      <c r="I29" s="39">
        <v>0</v>
      </c>
      <c r="J29" s="49">
        <v>0</v>
      </c>
      <c r="K29" s="49">
        <v>0</v>
      </c>
      <c r="L29" s="49">
        <v>0</v>
      </c>
      <c r="M29" s="49">
        <v>0</v>
      </c>
      <c r="N29" s="55">
        <v>0</v>
      </c>
      <c r="O29" s="40">
        <f t="shared" si="2"/>
        <v>193.92</v>
      </c>
      <c r="P29" s="49"/>
      <c r="Q29" s="56"/>
      <c r="R29" s="45"/>
      <c r="S29" s="47" t="s">
        <v>619</v>
      </c>
      <c r="T29" s="38" t="s">
        <v>578</v>
      </c>
      <c r="U29" s="44" t="s">
        <v>81</v>
      </c>
    </row>
    <row r="30" spans="1:21" x14ac:dyDescent="0.35">
      <c r="A30" s="45">
        <v>189389</v>
      </c>
      <c r="B30" s="46">
        <v>46081.626157407401</v>
      </c>
      <c r="C30" s="47" t="s">
        <v>623</v>
      </c>
      <c r="D30" s="47" t="s">
        <v>618</v>
      </c>
      <c r="E30" s="53">
        <v>2659924</v>
      </c>
      <c r="F30" s="49">
        <v>275087.31</v>
      </c>
      <c r="G30" s="54">
        <v>38.68</v>
      </c>
      <c r="H30" s="49">
        <v>38.68</v>
      </c>
      <c r="I30" s="39">
        <v>0</v>
      </c>
      <c r="J30" s="49">
        <v>0</v>
      </c>
      <c r="K30" s="49">
        <v>0</v>
      </c>
      <c r="L30" s="49">
        <v>0</v>
      </c>
      <c r="M30" s="49">
        <v>0</v>
      </c>
      <c r="N30" s="55">
        <v>0</v>
      </c>
      <c r="O30" s="40">
        <f t="shared" si="2"/>
        <v>38.68</v>
      </c>
      <c r="P30" s="49"/>
      <c r="Q30" s="56"/>
      <c r="R30" s="45"/>
      <c r="S30" s="47" t="s">
        <v>619</v>
      </c>
      <c r="T30" s="38" t="s">
        <v>578</v>
      </c>
      <c r="U30" s="44" t="s">
        <v>81</v>
      </c>
    </row>
    <row r="31" spans="1:21" x14ac:dyDescent="0.35">
      <c r="A31" s="45">
        <v>189379</v>
      </c>
      <c r="B31" s="46">
        <v>46081.634305555599</v>
      </c>
      <c r="C31" s="47" t="s">
        <v>624</v>
      </c>
      <c r="D31" s="47" t="s">
        <v>618</v>
      </c>
      <c r="E31" s="53">
        <v>2660024</v>
      </c>
      <c r="F31" s="49">
        <v>31192.62</v>
      </c>
      <c r="G31" s="54">
        <v>84.67</v>
      </c>
      <c r="H31" s="49">
        <v>84.67</v>
      </c>
      <c r="I31" s="39">
        <v>0</v>
      </c>
      <c r="J31" s="49">
        <v>0</v>
      </c>
      <c r="K31" s="49">
        <v>0</v>
      </c>
      <c r="L31" s="49">
        <v>0</v>
      </c>
      <c r="M31" s="49">
        <v>0</v>
      </c>
      <c r="N31" s="55">
        <v>0</v>
      </c>
      <c r="O31" s="40">
        <f t="shared" si="2"/>
        <v>84.67</v>
      </c>
      <c r="P31" s="49"/>
      <c r="Q31" s="56"/>
      <c r="R31" s="45"/>
      <c r="S31" s="47" t="s">
        <v>619</v>
      </c>
      <c r="T31" s="38" t="s">
        <v>578</v>
      </c>
      <c r="U31" s="44" t="s">
        <v>81</v>
      </c>
    </row>
    <row r="32" spans="1:21" x14ac:dyDescent="0.35">
      <c r="A32" s="45">
        <v>192167</v>
      </c>
      <c r="B32" s="46">
        <v>46148.738483796304</v>
      </c>
      <c r="C32" s="47" t="s">
        <v>625</v>
      </c>
      <c r="D32" s="47" t="s">
        <v>618</v>
      </c>
      <c r="E32" s="53">
        <v>2739448</v>
      </c>
      <c r="F32" s="49">
        <v>80261.87</v>
      </c>
      <c r="G32" s="54">
        <v>53.06</v>
      </c>
      <c r="H32" s="49">
        <v>53.06</v>
      </c>
      <c r="I32" s="39">
        <v>0</v>
      </c>
      <c r="J32" s="49">
        <v>0</v>
      </c>
      <c r="K32" s="49">
        <v>0</v>
      </c>
      <c r="L32" s="49">
        <v>0</v>
      </c>
      <c r="M32" s="49">
        <v>0</v>
      </c>
      <c r="N32" s="55">
        <v>0</v>
      </c>
      <c r="O32" s="40">
        <f t="shared" si="2"/>
        <v>53.06</v>
      </c>
      <c r="P32" s="49"/>
      <c r="Q32" s="56"/>
      <c r="R32" s="45"/>
      <c r="S32" s="47" t="s">
        <v>619</v>
      </c>
      <c r="T32" s="38" t="s">
        <v>578</v>
      </c>
      <c r="U32" s="44" t="s">
        <v>81</v>
      </c>
    </row>
    <row r="33" spans="1:21" x14ac:dyDescent="0.35">
      <c r="A33" s="45">
        <v>192346</v>
      </c>
      <c r="B33" s="46">
        <v>46158.777581018498</v>
      </c>
      <c r="C33" s="47" t="s">
        <v>626</v>
      </c>
      <c r="D33" s="47" t="s">
        <v>618</v>
      </c>
      <c r="E33" s="53">
        <v>2751967</v>
      </c>
      <c r="F33" s="49">
        <v>552297.03</v>
      </c>
      <c r="G33" s="54">
        <v>27.22</v>
      </c>
      <c r="H33" s="49">
        <v>27.22</v>
      </c>
      <c r="I33" s="39">
        <v>0</v>
      </c>
      <c r="J33" s="49">
        <v>0</v>
      </c>
      <c r="K33" s="49">
        <v>0</v>
      </c>
      <c r="L33" s="49">
        <v>0</v>
      </c>
      <c r="M33" s="49">
        <v>0</v>
      </c>
      <c r="N33" s="55">
        <v>0</v>
      </c>
      <c r="O33" s="40">
        <f>H33+NH48+I33+J33+K33+L33+M33+N33</f>
        <v>27.22</v>
      </c>
      <c r="P33" s="49"/>
      <c r="Q33" s="56"/>
      <c r="R33" s="45"/>
      <c r="S33" s="47" t="s">
        <v>619</v>
      </c>
      <c r="T33" s="38" t="s">
        <v>578</v>
      </c>
      <c r="U33" s="44" t="s">
        <v>81</v>
      </c>
    </row>
    <row r="34" spans="1:21" x14ac:dyDescent="0.35">
      <c r="A34" s="45">
        <v>192790</v>
      </c>
      <c r="B34" s="46">
        <v>46168.552812499998</v>
      </c>
      <c r="C34" s="47" t="s">
        <v>627</v>
      </c>
      <c r="D34" s="47" t="s">
        <v>618</v>
      </c>
      <c r="E34" s="53">
        <v>2764791</v>
      </c>
      <c r="F34" s="49">
        <v>53974.63</v>
      </c>
      <c r="G34" s="54">
        <v>122.8</v>
      </c>
      <c r="H34" s="49">
        <v>122.8</v>
      </c>
      <c r="I34" s="39">
        <v>0</v>
      </c>
      <c r="J34" s="49">
        <v>0</v>
      </c>
      <c r="K34" s="49">
        <v>0</v>
      </c>
      <c r="L34" s="49">
        <v>0</v>
      </c>
      <c r="M34" s="49">
        <v>0</v>
      </c>
      <c r="N34" s="55">
        <v>0</v>
      </c>
      <c r="O34" s="40">
        <f>H34+NH50+I34+J34+K34+L34+M34+N34</f>
        <v>122.8</v>
      </c>
      <c r="P34" s="49"/>
      <c r="Q34" s="56"/>
      <c r="R34" s="45"/>
      <c r="S34" s="47" t="s">
        <v>619</v>
      </c>
      <c r="T34" s="38" t="s">
        <v>578</v>
      </c>
      <c r="U34" s="44" t="s">
        <v>81</v>
      </c>
    </row>
    <row r="35" spans="1:21" x14ac:dyDescent="0.35">
      <c r="A35" s="45">
        <v>195873</v>
      </c>
      <c r="B35" s="46">
        <v>46241</v>
      </c>
      <c r="C35" s="47" t="s">
        <v>628</v>
      </c>
      <c r="D35" s="47" t="s">
        <v>618</v>
      </c>
      <c r="E35" s="45">
        <v>2856810</v>
      </c>
      <c r="F35" s="49">
        <v>130795.42</v>
      </c>
      <c r="G35" s="49">
        <v>14.33</v>
      </c>
      <c r="H35" s="51">
        <v>14.33</v>
      </c>
      <c r="I35" s="49">
        <v>0</v>
      </c>
      <c r="J35" s="49">
        <v>0</v>
      </c>
      <c r="K35" s="49">
        <v>0</v>
      </c>
      <c r="L35" s="39">
        <v>0</v>
      </c>
      <c r="M35" s="39">
        <v>0</v>
      </c>
      <c r="N35" s="39">
        <v>0</v>
      </c>
      <c r="O35" s="52">
        <f t="shared" ref="O35:O42" si="3">H35+NH62+I35+J35+K35+L35+M35+N35</f>
        <v>14.33</v>
      </c>
      <c r="P35" s="49"/>
      <c r="Q35" s="56"/>
      <c r="R35" s="45"/>
      <c r="S35" s="47" t="s">
        <v>619</v>
      </c>
      <c r="T35" s="38" t="s">
        <v>578</v>
      </c>
      <c r="U35" s="44" t="s">
        <v>81</v>
      </c>
    </row>
    <row r="36" spans="1:21" x14ac:dyDescent="0.35">
      <c r="A36" s="45">
        <v>196153</v>
      </c>
      <c r="B36" s="46">
        <v>46251</v>
      </c>
      <c r="C36" s="47" t="s">
        <v>629</v>
      </c>
      <c r="D36" s="47" t="s">
        <v>618</v>
      </c>
      <c r="E36" s="45">
        <v>2866691</v>
      </c>
      <c r="F36" s="49">
        <v>298821.34000000003</v>
      </c>
      <c r="G36" s="49">
        <v>28.64</v>
      </c>
      <c r="H36" s="51">
        <v>28.64</v>
      </c>
      <c r="I36" s="49">
        <v>0</v>
      </c>
      <c r="J36" s="49">
        <v>0</v>
      </c>
      <c r="K36" s="49">
        <v>0</v>
      </c>
      <c r="L36" s="39">
        <v>0</v>
      </c>
      <c r="M36" s="39">
        <v>0</v>
      </c>
      <c r="N36" s="39">
        <v>0</v>
      </c>
      <c r="O36" s="52">
        <f t="shared" si="3"/>
        <v>28.64</v>
      </c>
      <c r="P36" s="49"/>
      <c r="Q36" s="56"/>
      <c r="R36" s="45"/>
      <c r="S36" s="47" t="s">
        <v>619</v>
      </c>
      <c r="T36" s="38" t="s">
        <v>578</v>
      </c>
      <c r="U36" s="44" t="s">
        <v>81</v>
      </c>
    </row>
    <row r="37" spans="1:21" x14ac:dyDescent="0.35">
      <c r="A37" s="45">
        <v>196422</v>
      </c>
      <c r="B37" s="46">
        <v>46259</v>
      </c>
      <c r="C37" s="47" t="s">
        <v>630</v>
      </c>
      <c r="D37" s="47" t="s">
        <v>618</v>
      </c>
      <c r="E37" s="45">
        <v>2875335</v>
      </c>
      <c r="F37" s="49">
        <v>312011.92</v>
      </c>
      <c r="G37" s="49">
        <v>164.56</v>
      </c>
      <c r="H37" s="51">
        <v>164.56</v>
      </c>
      <c r="I37" s="49">
        <v>0</v>
      </c>
      <c r="J37" s="49">
        <v>0</v>
      </c>
      <c r="K37" s="49">
        <v>0</v>
      </c>
      <c r="L37" s="39">
        <v>0</v>
      </c>
      <c r="M37" s="39">
        <v>0</v>
      </c>
      <c r="N37" s="39">
        <v>0</v>
      </c>
      <c r="O37" s="52">
        <f t="shared" si="3"/>
        <v>164.56</v>
      </c>
      <c r="P37" s="49"/>
      <c r="Q37" s="56"/>
      <c r="R37" s="45"/>
      <c r="S37" s="47" t="s">
        <v>619</v>
      </c>
      <c r="T37" s="38" t="s">
        <v>578</v>
      </c>
      <c r="U37" s="44" t="s">
        <v>81</v>
      </c>
    </row>
    <row r="38" spans="1:21" x14ac:dyDescent="0.35">
      <c r="A38" s="45">
        <v>196309</v>
      </c>
      <c r="B38" s="46">
        <v>46260</v>
      </c>
      <c r="C38" s="47" t="s">
        <v>631</v>
      </c>
      <c r="D38" s="47" t="s">
        <v>632</v>
      </c>
      <c r="E38" s="45">
        <v>1321</v>
      </c>
      <c r="F38" s="49">
        <v>320490.59999999998</v>
      </c>
      <c r="G38" s="49">
        <v>6154.84</v>
      </c>
      <c r="H38" s="47"/>
      <c r="I38" s="49">
        <v>6154.84</v>
      </c>
      <c r="J38" s="49">
        <v>0</v>
      </c>
      <c r="K38" s="49">
        <v>0</v>
      </c>
      <c r="L38" s="39">
        <v>0</v>
      </c>
      <c r="M38" s="39">
        <v>0</v>
      </c>
      <c r="N38" s="39">
        <v>0</v>
      </c>
      <c r="O38" s="52">
        <f t="shared" si="3"/>
        <v>6154.84</v>
      </c>
      <c r="P38" s="49"/>
      <c r="Q38" s="56"/>
      <c r="R38" s="45"/>
      <c r="S38" s="47" t="s">
        <v>619</v>
      </c>
      <c r="T38" s="38" t="s">
        <v>609</v>
      </c>
      <c r="U38" s="44" t="s">
        <v>31</v>
      </c>
    </row>
    <row r="39" spans="1:21" x14ac:dyDescent="0.35">
      <c r="A39" s="45">
        <v>189101</v>
      </c>
      <c r="B39" s="56">
        <v>46081.453865740703</v>
      </c>
      <c r="C39" s="47" t="s">
        <v>633</v>
      </c>
      <c r="D39" s="47" t="s">
        <v>634</v>
      </c>
      <c r="E39" s="53">
        <v>18561</v>
      </c>
      <c r="F39" s="49">
        <v>382983.15</v>
      </c>
      <c r="G39" s="54">
        <v>2391.5540000000001</v>
      </c>
      <c r="H39" s="49">
        <v>0</v>
      </c>
      <c r="I39" s="39">
        <v>0</v>
      </c>
      <c r="J39" s="49">
        <v>0</v>
      </c>
      <c r="K39" s="49">
        <v>0</v>
      </c>
      <c r="L39" s="49">
        <v>0</v>
      </c>
      <c r="M39" s="49">
        <v>0</v>
      </c>
      <c r="N39" s="49">
        <v>2391.5540000000001</v>
      </c>
      <c r="O39" s="52">
        <f t="shared" si="3"/>
        <v>2391.5540000000001</v>
      </c>
      <c r="P39" s="49"/>
      <c r="Q39" s="56"/>
      <c r="R39" s="45"/>
      <c r="S39" s="47" t="s">
        <v>608</v>
      </c>
      <c r="T39" s="38" t="s">
        <v>609</v>
      </c>
      <c r="U39" s="44" t="s">
        <v>635</v>
      </c>
    </row>
    <row r="40" spans="1:21" x14ac:dyDescent="0.35">
      <c r="A40" s="45">
        <v>194574</v>
      </c>
      <c r="B40" s="46">
        <v>46212</v>
      </c>
      <c r="C40" s="47" t="s">
        <v>636</v>
      </c>
      <c r="D40" s="47" t="s">
        <v>634</v>
      </c>
      <c r="E40" s="45">
        <v>24259</v>
      </c>
      <c r="F40" s="49">
        <v>512743.86</v>
      </c>
      <c r="G40" s="49">
        <v>3923.59</v>
      </c>
      <c r="H40" s="47"/>
      <c r="I40" s="49">
        <v>0</v>
      </c>
      <c r="J40" s="49">
        <v>0</v>
      </c>
      <c r="K40" s="49">
        <v>0</v>
      </c>
      <c r="L40" s="39">
        <v>0</v>
      </c>
      <c r="M40" s="39">
        <v>0</v>
      </c>
      <c r="N40" s="39">
        <v>3923.59</v>
      </c>
      <c r="O40" s="52">
        <f t="shared" si="3"/>
        <v>3923.59</v>
      </c>
      <c r="P40" s="49"/>
      <c r="Q40" s="56"/>
      <c r="R40" s="45"/>
      <c r="S40" s="47" t="s">
        <v>608</v>
      </c>
      <c r="T40" s="38" t="s">
        <v>609</v>
      </c>
      <c r="U40" s="44" t="s">
        <v>635</v>
      </c>
    </row>
    <row r="41" spans="1:21" x14ac:dyDescent="0.35">
      <c r="A41" s="45">
        <v>194989</v>
      </c>
      <c r="B41" s="46">
        <v>46223</v>
      </c>
      <c r="C41" s="47" t="s">
        <v>637</v>
      </c>
      <c r="D41" s="47" t="s">
        <v>634</v>
      </c>
      <c r="E41" s="45">
        <v>24736</v>
      </c>
      <c r="F41" s="49">
        <v>542711.46</v>
      </c>
      <c r="G41" s="49">
        <v>35475.519999999997</v>
      </c>
      <c r="H41" s="51">
        <v>32219</v>
      </c>
      <c r="I41" s="49">
        <v>0</v>
      </c>
      <c r="J41" s="49">
        <v>0</v>
      </c>
      <c r="K41" s="49">
        <v>0</v>
      </c>
      <c r="L41" s="39">
        <v>0</v>
      </c>
      <c r="M41" s="39">
        <v>0</v>
      </c>
      <c r="N41" s="39">
        <v>3256.5240000000003</v>
      </c>
      <c r="O41" s="52">
        <f t="shared" si="3"/>
        <v>35475.523999999998</v>
      </c>
      <c r="P41" s="49"/>
      <c r="Q41" s="56"/>
      <c r="R41" s="45"/>
      <c r="S41" s="47" t="s">
        <v>608</v>
      </c>
      <c r="T41" s="38" t="s">
        <v>609</v>
      </c>
      <c r="U41" s="44" t="s">
        <v>635</v>
      </c>
    </row>
    <row r="42" spans="1:21" x14ac:dyDescent="0.35">
      <c r="A42" s="45">
        <v>195950</v>
      </c>
      <c r="B42" s="46">
        <v>46233</v>
      </c>
      <c r="C42" s="47" t="s">
        <v>638</v>
      </c>
      <c r="D42" s="47" t="s">
        <v>639</v>
      </c>
      <c r="E42" s="45">
        <v>397185</v>
      </c>
      <c r="F42" s="49">
        <v>222983.55</v>
      </c>
      <c r="G42" s="49">
        <v>928.08</v>
      </c>
      <c r="H42" s="47">
        <v>928.08</v>
      </c>
      <c r="I42" s="49">
        <v>0</v>
      </c>
      <c r="J42" s="49">
        <v>0</v>
      </c>
      <c r="K42" s="49">
        <v>0</v>
      </c>
      <c r="L42" s="39">
        <v>0</v>
      </c>
      <c r="M42" s="39">
        <v>0</v>
      </c>
      <c r="N42" s="39">
        <v>0</v>
      </c>
      <c r="O42" s="52">
        <f t="shared" si="3"/>
        <v>928.08</v>
      </c>
      <c r="P42" s="49"/>
      <c r="Q42" s="47"/>
      <c r="R42" s="47"/>
      <c r="S42" s="47" t="s">
        <v>608</v>
      </c>
      <c r="T42" s="38" t="s">
        <v>582</v>
      </c>
      <c r="U42" s="44" t="s">
        <v>70</v>
      </c>
    </row>
    <row r="43" spans="1:21" x14ac:dyDescent="0.35">
      <c r="A43" s="45">
        <v>187476</v>
      </c>
      <c r="B43" s="46">
        <v>46030.560555555603</v>
      </c>
      <c r="C43" s="47" t="s">
        <v>640</v>
      </c>
      <c r="D43" s="47" t="s">
        <v>641</v>
      </c>
      <c r="E43" s="45">
        <v>9031693832</v>
      </c>
      <c r="F43" s="49">
        <v>26949.119999999999</v>
      </c>
      <c r="G43" s="49">
        <v>1021.12</v>
      </c>
      <c r="H43" s="47">
        <v>1021.12</v>
      </c>
      <c r="I43" s="49">
        <v>0</v>
      </c>
      <c r="J43" s="49">
        <v>0</v>
      </c>
      <c r="K43" s="49">
        <v>0</v>
      </c>
      <c r="L43" s="39">
        <v>0</v>
      </c>
      <c r="M43" s="39">
        <v>0</v>
      </c>
      <c r="N43" s="39">
        <v>0</v>
      </c>
      <c r="O43" s="52">
        <v>1021.12</v>
      </c>
      <c r="P43" s="49"/>
      <c r="Q43" s="47"/>
      <c r="R43" s="47"/>
      <c r="S43" s="47" t="s">
        <v>642</v>
      </c>
      <c r="T43" s="38" t="s">
        <v>578</v>
      </c>
      <c r="U43" s="44" t="s">
        <v>585</v>
      </c>
    </row>
    <row r="44" spans="1:21" x14ac:dyDescent="0.35">
      <c r="A44" s="45">
        <v>190100</v>
      </c>
      <c r="B44" s="46">
        <v>46091.426076388903</v>
      </c>
      <c r="C44" s="47" t="s">
        <v>643</v>
      </c>
      <c r="D44" s="47" t="s">
        <v>641</v>
      </c>
      <c r="E44" s="45">
        <v>9031743476</v>
      </c>
      <c r="F44" s="49">
        <v>39971.839999999997</v>
      </c>
      <c r="G44" s="49">
        <v>168.2</v>
      </c>
      <c r="H44" s="47">
        <v>168.2</v>
      </c>
      <c r="I44" s="49">
        <v>0</v>
      </c>
      <c r="J44" s="49">
        <v>0</v>
      </c>
      <c r="K44" s="49">
        <v>0</v>
      </c>
      <c r="L44" s="39">
        <v>0</v>
      </c>
      <c r="M44" s="39">
        <v>0</v>
      </c>
      <c r="N44" s="39">
        <v>0</v>
      </c>
      <c r="O44" s="52">
        <v>168.2</v>
      </c>
      <c r="P44" s="49"/>
      <c r="Q44" s="47"/>
      <c r="R44" s="47"/>
      <c r="S44" s="47" t="s">
        <v>642</v>
      </c>
      <c r="T44" s="38" t="s">
        <v>578</v>
      </c>
      <c r="U44" s="44" t="s">
        <v>585</v>
      </c>
    </row>
    <row r="45" spans="1:21" x14ac:dyDescent="0.35">
      <c r="A45" s="45">
        <v>190438</v>
      </c>
      <c r="B45" s="46">
        <v>46105.545601851903</v>
      </c>
      <c r="C45" s="47" t="s">
        <v>644</v>
      </c>
      <c r="D45" s="47" t="s">
        <v>641</v>
      </c>
      <c r="E45" s="45">
        <v>9031753686</v>
      </c>
      <c r="F45" s="49">
        <v>27899.02</v>
      </c>
      <c r="G45" s="49">
        <v>9511.25</v>
      </c>
      <c r="H45" s="47">
        <v>9511.25</v>
      </c>
      <c r="I45" s="49">
        <v>0</v>
      </c>
      <c r="J45" s="49">
        <v>0</v>
      </c>
      <c r="K45" s="49">
        <v>0</v>
      </c>
      <c r="L45" s="39">
        <v>0</v>
      </c>
      <c r="M45" s="39">
        <v>0</v>
      </c>
      <c r="N45" s="39">
        <v>0</v>
      </c>
      <c r="O45" s="52">
        <v>9511.25</v>
      </c>
      <c r="P45" s="49"/>
      <c r="Q45" s="47"/>
      <c r="R45" s="47"/>
      <c r="S45" s="47" t="s">
        <v>642</v>
      </c>
      <c r="T45" s="38" t="s">
        <v>578</v>
      </c>
      <c r="U45" s="44" t="s">
        <v>585</v>
      </c>
    </row>
    <row r="46" spans="1:21" x14ac:dyDescent="0.35">
      <c r="A46" s="45">
        <v>192851</v>
      </c>
      <c r="B46" s="46">
        <v>46166.927175925899</v>
      </c>
      <c r="C46" s="47" t="s">
        <v>645</v>
      </c>
      <c r="D46" s="47" t="s">
        <v>641</v>
      </c>
      <c r="E46" s="45">
        <v>9031801024</v>
      </c>
      <c r="F46" s="49">
        <v>14342.05</v>
      </c>
      <c r="G46" s="49">
        <v>289.82</v>
      </c>
      <c r="H46" s="47">
        <v>289.82</v>
      </c>
      <c r="I46" s="49">
        <v>0</v>
      </c>
      <c r="J46" s="49">
        <v>0</v>
      </c>
      <c r="K46" s="49">
        <v>0</v>
      </c>
      <c r="L46" s="39">
        <v>0</v>
      </c>
      <c r="M46" s="39">
        <v>0</v>
      </c>
      <c r="N46" s="39">
        <v>0</v>
      </c>
      <c r="O46" s="52">
        <f>H46+NH73+I46+J46+K46+L46+M46+N46</f>
        <v>289.82</v>
      </c>
      <c r="P46" s="49"/>
      <c r="Q46" s="47"/>
      <c r="R46" s="47"/>
      <c r="S46" s="47" t="s">
        <v>642</v>
      </c>
      <c r="T46" s="38" t="s">
        <v>578</v>
      </c>
      <c r="U46" s="44" t="s">
        <v>585</v>
      </c>
    </row>
    <row r="47" spans="1:21" x14ac:dyDescent="0.35">
      <c r="A47" s="45">
        <v>193027</v>
      </c>
      <c r="B47" s="46">
        <v>46172.624421296299</v>
      </c>
      <c r="C47" s="47" t="s">
        <v>646</v>
      </c>
      <c r="D47" s="47" t="s">
        <v>641</v>
      </c>
      <c r="E47" s="45">
        <v>9031808373</v>
      </c>
      <c r="F47" s="49">
        <v>44165.38</v>
      </c>
      <c r="G47" s="49">
        <v>242.21</v>
      </c>
      <c r="H47" s="47">
        <v>242.21</v>
      </c>
      <c r="I47" s="49">
        <v>0</v>
      </c>
      <c r="J47" s="49">
        <v>0</v>
      </c>
      <c r="K47" s="49">
        <v>0</v>
      </c>
      <c r="L47" s="39">
        <v>0</v>
      </c>
      <c r="M47" s="39">
        <v>0</v>
      </c>
      <c r="N47" s="39">
        <v>0</v>
      </c>
      <c r="O47" s="52">
        <f>H47+NH74+I47+J47+K47+L47+M47+N47</f>
        <v>242.21</v>
      </c>
      <c r="P47" s="49"/>
      <c r="Q47" s="47"/>
      <c r="R47" s="47"/>
      <c r="S47" s="47" t="s">
        <v>642</v>
      </c>
      <c r="T47" s="38" t="s">
        <v>578</v>
      </c>
      <c r="U47" s="44" t="s">
        <v>585</v>
      </c>
    </row>
    <row r="48" spans="1:21" x14ac:dyDescent="0.35">
      <c r="A48" s="45">
        <v>194870</v>
      </c>
      <c r="B48" s="46">
        <v>46219.6471759259</v>
      </c>
      <c r="C48" s="47" t="s">
        <v>647</v>
      </c>
      <c r="D48" s="47" t="s">
        <v>641</v>
      </c>
      <c r="E48" s="45">
        <v>9031845853</v>
      </c>
      <c r="F48" s="49">
        <v>79321.03</v>
      </c>
      <c r="G48" s="49">
        <v>75299.81</v>
      </c>
      <c r="H48" s="47"/>
      <c r="I48" s="49">
        <v>0</v>
      </c>
      <c r="J48" s="49">
        <v>0</v>
      </c>
      <c r="K48" s="49">
        <v>0</v>
      </c>
      <c r="L48" s="39">
        <v>0</v>
      </c>
      <c r="M48" s="39">
        <v>0</v>
      </c>
      <c r="N48" s="39">
        <v>75299.81</v>
      </c>
      <c r="O48" s="52">
        <f t="shared" ref="O48:O51" si="4">H48+NH76+I48+J48+K48+L48+M48+N48</f>
        <v>75299.81</v>
      </c>
      <c r="P48" s="49"/>
      <c r="Q48" s="47"/>
      <c r="R48" s="47"/>
      <c r="S48" s="47" t="s">
        <v>642</v>
      </c>
      <c r="T48" s="38" t="s">
        <v>578</v>
      </c>
      <c r="U48" s="44" t="s">
        <v>585</v>
      </c>
    </row>
    <row r="49" spans="1:21" x14ac:dyDescent="0.35">
      <c r="A49" s="45">
        <v>196071</v>
      </c>
      <c r="B49" s="46">
        <v>46249.318969907399</v>
      </c>
      <c r="C49" s="47" t="s">
        <v>648</v>
      </c>
      <c r="D49" s="47" t="s">
        <v>641</v>
      </c>
      <c r="E49" s="45">
        <v>9031872516</v>
      </c>
      <c r="F49" s="49">
        <v>72522.09</v>
      </c>
      <c r="G49" s="49">
        <v>295.7</v>
      </c>
      <c r="H49" s="49"/>
      <c r="I49" s="49">
        <v>0</v>
      </c>
      <c r="J49" s="49">
        <v>0</v>
      </c>
      <c r="K49" s="49">
        <v>0</v>
      </c>
      <c r="L49" s="39">
        <v>295.7</v>
      </c>
      <c r="M49" s="39">
        <v>0</v>
      </c>
      <c r="N49" s="39">
        <v>0</v>
      </c>
      <c r="O49" s="52">
        <f t="shared" si="4"/>
        <v>295.7</v>
      </c>
      <c r="P49" s="49"/>
      <c r="Q49" s="47"/>
      <c r="R49" s="47"/>
      <c r="S49" s="47" t="s">
        <v>642</v>
      </c>
      <c r="T49" s="38" t="s">
        <v>578</v>
      </c>
      <c r="U49" s="44" t="s">
        <v>585</v>
      </c>
    </row>
    <row r="50" spans="1:21" x14ac:dyDescent="0.35">
      <c r="A50" s="45">
        <v>196185</v>
      </c>
      <c r="B50" s="46">
        <v>46252.6821180556</v>
      </c>
      <c r="C50" s="47" t="s">
        <v>649</v>
      </c>
      <c r="D50" s="47" t="s">
        <v>641</v>
      </c>
      <c r="E50" s="45">
        <v>9031874196</v>
      </c>
      <c r="F50" s="49">
        <v>17546.72</v>
      </c>
      <c r="G50" s="49">
        <v>980.42</v>
      </c>
      <c r="H50" s="49">
        <v>980.42</v>
      </c>
      <c r="I50" s="49">
        <v>0</v>
      </c>
      <c r="J50" s="49">
        <v>0</v>
      </c>
      <c r="K50" s="49">
        <v>0</v>
      </c>
      <c r="L50" s="39">
        <v>0</v>
      </c>
      <c r="M50" s="39">
        <v>0</v>
      </c>
      <c r="N50" s="39">
        <v>0</v>
      </c>
      <c r="O50" s="52">
        <f t="shared" si="4"/>
        <v>980.42</v>
      </c>
      <c r="P50" s="49"/>
      <c r="Q50" s="47"/>
      <c r="R50" s="47"/>
      <c r="S50" s="47" t="s">
        <v>642</v>
      </c>
      <c r="T50" s="38" t="s">
        <v>578</v>
      </c>
      <c r="U50" s="44" t="s">
        <v>585</v>
      </c>
    </row>
    <row r="51" spans="1:21" x14ac:dyDescent="0.35">
      <c r="A51" s="45">
        <v>196188</v>
      </c>
      <c r="B51" s="46">
        <v>46253.650486111103</v>
      </c>
      <c r="C51" s="47" t="s">
        <v>650</v>
      </c>
      <c r="D51" s="47" t="s">
        <v>641</v>
      </c>
      <c r="E51" s="45">
        <v>9031876265</v>
      </c>
      <c r="F51" s="49">
        <v>17675.060000000001</v>
      </c>
      <c r="G51" s="49">
        <v>284.99</v>
      </c>
      <c r="H51" s="47">
        <v>284.99</v>
      </c>
      <c r="I51" s="49">
        <v>0</v>
      </c>
      <c r="J51" s="49">
        <v>0</v>
      </c>
      <c r="K51" s="49">
        <v>0</v>
      </c>
      <c r="L51" s="39">
        <v>0</v>
      </c>
      <c r="M51" s="39">
        <v>0</v>
      </c>
      <c r="N51" s="39">
        <v>0</v>
      </c>
      <c r="O51" s="52">
        <f t="shared" si="4"/>
        <v>284.99</v>
      </c>
      <c r="P51" s="49"/>
      <c r="Q51" s="47"/>
      <c r="R51" s="47"/>
      <c r="S51" s="47" t="s">
        <v>642</v>
      </c>
      <c r="T51" s="38" t="s">
        <v>578</v>
      </c>
      <c r="U51" s="44" t="s">
        <v>585</v>
      </c>
    </row>
    <row r="52" spans="1:21" x14ac:dyDescent="0.35">
      <c r="A52" s="45">
        <v>179872</v>
      </c>
      <c r="B52" s="56">
        <v>45814.774942129603</v>
      </c>
      <c r="C52" s="47" t="s">
        <v>651</v>
      </c>
      <c r="D52" s="47" t="s">
        <v>652</v>
      </c>
      <c r="E52" s="53">
        <v>354345</v>
      </c>
      <c r="F52" s="49">
        <v>124258.87</v>
      </c>
      <c r="G52" s="54">
        <v>24.42</v>
      </c>
      <c r="H52" s="49">
        <v>24.42</v>
      </c>
      <c r="I52" s="39">
        <v>0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40">
        <f t="shared" ref="O52:O53" si="5">H52+NH72+I52+J52+K52+L52+M52+N52</f>
        <v>24.42</v>
      </c>
      <c r="P52" s="49"/>
      <c r="Q52" s="56"/>
      <c r="R52" s="45"/>
      <c r="S52" s="47" t="s">
        <v>653</v>
      </c>
      <c r="T52" s="38" t="s">
        <v>598</v>
      </c>
      <c r="U52" s="44" t="s">
        <v>654</v>
      </c>
    </row>
    <row r="53" spans="1:21" x14ac:dyDescent="0.35">
      <c r="A53" s="45">
        <v>182823</v>
      </c>
      <c r="B53" s="56">
        <v>45909.516354166699</v>
      </c>
      <c r="C53" s="47" t="s">
        <v>655</v>
      </c>
      <c r="D53" s="47" t="s">
        <v>652</v>
      </c>
      <c r="E53" s="53">
        <v>370192</v>
      </c>
      <c r="F53" s="49">
        <v>141748.18</v>
      </c>
      <c r="G53" s="54">
        <v>13.970000000000013</v>
      </c>
      <c r="H53" s="49">
        <v>13.970000000000013</v>
      </c>
      <c r="I53" s="39">
        <v>0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40">
        <f t="shared" si="5"/>
        <v>13.970000000000013</v>
      </c>
      <c r="P53" s="49"/>
      <c r="Q53" s="56"/>
      <c r="R53" s="45"/>
      <c r="S53" s="47" t="s">
        <v>653</v>
      </c>
      <c r="T53" s="38" t="s">
        <v>598</v>
      </c>
      <c r="U53" s="44" t="s">
        <v>654</v>
      </c>
    </row>
    <row r="54" spans="1:21" x14ac:dyDescent="0.35">
      <c r="A54" s="45">
        <v>190425</v>
      </c>
      <c r="B54" s="46">
        <v>46081.592152777797</v>
      </c>
      <c r="C54" s="47" t="s">
        <v>656</v>
      </c>
      <c r="D54" s="47" t="s">
        <v>652</v>
      </c>
      <c r="E54" s="45">
        <v>397601</v>
      </c>
      <c r="F54" s="49">
        <v>1005020.94</v>
      </c>
      <c r="G54" s="49">
        <v>4705.71</v>
      </c>
      <c r="H54" s="47">
        <v>4705.71</v>
      </c>
      <c r="I54" s="49">
        <v>0</v>
      </c>
      <c r="J54" s="49">
        <v>0</v>
      </c>
      <c r="K54" s="49">
        <v>0</v>
      </c>
      <c r="L54" s="39">
        <v>0</v>
      </c>
      <c r="M54" s="39">
        <v>0</v>
      </c>
      <c r="N54" s="39">
        <v>0</v>
      </c>
      <c r="O54" s="52">
        <v>4705.71</v>
      </c>
      <c r="P54" s="49" t="s">
        <v>657</v>
      </c>
      <c r="Q54" s="47"/>
      <c r="R54" s="47"/>
      <c r="S54" s="47" t="s">
        <v>653</v>
      </c>
      <c r="T54" s="38" t="s">
        <v>598</v>
      </c>
      <c r="U54" s="44" t="s">
        <v>654</v>
      </c>
    </row>
    <row r="55" spans="1:21" x14ac:dyDescent="0.35">
      <c r="A55" s="45">
        <v>195101</v>
      </c>
      <c r="B55" s="46">
        <v>46119</v>
      </c>
      <c r="C55" s="47" t="s">
        <v>658</v>
      </c>
      <c r="D55" s="47" t="s">
        <v>652</v>
      </c>
      <c r="E55" s="45" t="s">
        <v>659</v>
      </c>
      <c r="F55" s="49">
        <v>2927.84</v>
      </c>
      <c r="G55" s="49">
        <v>461.39</v>
      </c>
      <c r="H55" s="47">
        <v>461.39</v>
      </c>
      <c r="I55" s="49">
        <v>0</v>
      </c>
      <c r="J55" s="49">
        <v>0</v>
      </c>
      <c r="K55" s="49">
        <v>0</v>
      </c>
      <c r="L55" s="39">
        <v>0</v>
      </c>
      <c r="M55" s="39">
        <v>0</v>
      </c>
      <c r="N55" s="39">
        <v>0</v>
      </c>
      <c r="O55" s="52">
        <f>H55+NH83+I55+J55+K55+L55+M55+N55</f>
        <v>461.39</v>
      </c>
      <c r="P55" s="49"/>
      <c r="Q55" s="47"/>
      <c r="R55" s="47"/>
      <c r="S55" s="47" t="s">
        <v>653</v>
      </c>
      <c r="T55" s="38" t="s">
        <v>598</v>
      </c>
      <c r="U55" s="44" t="s">
        <v>654</v>
      </c>
    </row>
    <row r="56" spans="1:21" x14ac:dyDescent="0.35">
      <c r="A56" s="45">
        <v>195102</v>
      </c>
      <c r="B56" s="46">
        <v>46119</v>
      </c>
      <c r="C56" s="47" t="s">
        <v>660</v>
      </c>
      <c r="D56" s="47" t="s">
        <v>652</v>
      </c>
      <c r="E56" s="47" t="s">
        <v>661</v>
      </c>
      <c r="F56" s="49">
        <v>487.2</v>
      </c>
      <c r="G56" s="49">
        <v>487.2</v>
      </c>
      <c r="H56" s="49">
        <v>487.2</v>
      </c>
      <c r="I56" s="39">
        <v>0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52">
        <f t="shared" ref="O56:O69" si="6">H56+NH84+I56+J56+K56+L56+M56+N56</f>
        <v>487.2</v>
      </c>
      <c r="P56" s="49"/>
      <c r="Q56" s="47"/>
      <c r="R56" s="47"/>
      <c r="S56" s="47" t="s">
        <v>653</v>
      </c>
      <c r="T56" s="38" t="s">
        <v>598</v>
      </c>
      <c r="U56" s="44" t="s">
        <v>654</v>
      </c>
    </row>
    <row r="57" spans="1:21" x14ac:dyDescent="0.35">
      <c r="A57" s="45">
        <v>191607</v>
      </c>
      <c r="B57" s="46">
        <v>46127</v>
      </c>
      <c r="C57" s="47" t="s">
        <v>662</v>
      </c>
      <c r="D57" s="47" t="s">
        <v>652</v>
      </c>
      <c r="E57" s="45" t="s">
        <v>663</v>
      </c>
      <c r="F57" s="49">
        <v>107266.09</v>
      </c>
      <c r="G57" s="49">
        <v>128.76</v>
      </c>
      <c r="H57" s="47"/>
      <c r="I57" s="49">
        <v>0</v>
      </c>
      <c r="J57" s="49">
        <v>0</v>
      </c>
      <c r="K57" s="49">
        <v>128.76</v>
      </c>
      <c r="L57" s="39">
        <v>0</v>
      </c>
      <c r="M57" s="39">
        <v>0</v>
      </c>
      <c r="N57" s="39">
        <v>0</v>
      </c>
      <c r="O57" s="52">
        <f t="shared" si="6"/>
        <v>128.76</v>
      </c>
      <c r="P57" s="49"/>
      <c r="Q57" s="47"/>
      <c r="R57" s="47"/>
      <c r="S57" s="47" t="s">
        <v>653</v>
      </c>
      <c r="T57" s="38" t="s">
        <v>598</v>
      </c>
      <c r="U57" s="44" t="s">
        <v>654</v>
      </c>
    </row>
    <row r="58" spans="1:21" x14ac:dyDescent="0.35">
      <c r="A58" s="45">
        <v>195103</v>
      </c>
      <c r="B58" s="46">
        <v>46127</v>
      </c>
      <c r="C58" s="47" t="s">
        <v>664</v>
      </c>
      <c r="D58" s="47" t="s">
        <v>652</v>
      </c>
      <c r="E58" s="45" t="s">
        <v>665</v>
      </c>
      <c r="F58" s="49">
        <v>20184</v>
      </c>
      <c r="G58" s="49">
        <v>1100.03</v>
      </c>
      <c r="H58" s="47">
        <v>1100.03</v>
      </c>
      <c r="I58" s="49">
        <v>0</v>
      </c>
      <c r="J58" s="49">
        <v>0</v>
      </c>
      <c r="K58" s="49">
        <v>0</v>
      </c>
      <c r="L58" s="39">
        <v>0</v>
      </c>
      <c r="M58" s="39">
        <v>0</v>
      </c>
      <c r="N58" s="39">
        <v>0</v>
      </c>
      <c r="O58" s="52">
        <f t="shared" si="6"/>
        <v>1100.03</v>
      </c>
      <c r="P58" s="49"/>
      <c r="Q58" s="47"/>
      <c r="R58" s="47"/>
      <c r="S58" s="47" t="s">
        <v>653</v>
      </c>
      <c r="T58" s="38" t="s">
        <v>598</v>
      </c>
      <c r="U58" s="44" t="s">
        <v>654</v>
      </c>
    </row>
    <row r="59" spans="1:21" x14ac:dyDescent="0.35">
      <c r="A59" s="45">
        <v>195104</v>
      </c>
      <c r="B59" s="46">
        <v>46127</v>
      </c>
      <c r="C59" s="47" t="s">
        <v>666</v>
      </c>
      <c r="D59" s="47" t="s">
        <v>652</v>
      </c>
      <c r="E59" s="45" t="s">
        <v>663</v>
      </c>
      <c r="F59" s="49">
        <v>3166.72</v>
      </c>
      <c r="G59" s="49">
        <v>624.95000000000005</v>
      </c>
      <c r="H59" s="47">
        <v>624.95000000000005</v>
      </c>
      <c r="I59" s="49">
        <v>0</v>
      </c>
      <c r="J59" s="49">
        <v>0</v>
      </c>
      <c r="K59" s="49">
        <v>0</v>
      </c>
      <c r="L59" s="39">
        <v>0</v>
      </c>
      <c r="M59" s="39">
        <v>0</v>
      </c>
      <c r="N59" s="39">
        <v>0</v>
      </c>
      <c r="O59" s="52">
        <f t="shared" si="6"/>
        <v>624.95000000000005</v>
      </c>
      <c r="P59" s="49"/>
      <c r="Q59" s="47"/>
      <c r="R59" s="47"/>
      <c r="S59" s="47" t="s">
        <v>653</v>
      </c>
      <c r="T59" s="38" t="s">
        <v>598</v>
      </c>
      <c r="U59" s="44" t="s">
        <v>654</v>
      </c>
    </row>
    <row r="60" spans="1:21" x14ac:dyDescent="0.35">
      <c r="A60" s="45">
        <v>191705</v>
      </c>
      <c r="B60" s="46">
        <v>46129.708564814799</v>
      </c>
      <c r="C60" s="47" t="s">
        <v>667</v>
      </c>
      <c r="D60" s="47" t="s">
        <v>652</v>
      </c>
      <c r="E60" s="45" t="s">
        <v>668</v>
      </c>
      <c r="F60" s="49">
        <v>20405.25</v>
      </c>
      <c r="G60" s="49">
        <v>1125.21</v>
      </c>
      <c r="H60" s="49">
        <v>0</v>
      </c>
      <c r="I60" s="49">
        <v>0</v>
      </c>
      <c r="J60" s="49">
        <v>0</v>
      </c>
      <c r="K60" s="49">
        <v>0</v>
      </c>
      <c r="L60" s="39">
        <v>0</v>
      </c>
      <c r="M60" s="39">
        <v>1125.21</v>
      </c>
      <c r="N60" s="39">
        <v>0</v>
      </c>
      <c r="O60" s="52">
        <f t="shared" si="6"/>
        <v>1125.21</v>
      </c>
      <c r="P60" s="49"/>
      <c r="Q60" s="47"/>
      <c r="R60" s="47"/>
      <c r="S60" s="47" t="s">
        <v>653</v>
      </c>
      <c r="T60" s="38" t="s">
        <v>598</v>
      </c>
      <c r="U60" s="44" t="s">
        <v>654</v>
      </c>
    </row>
    <row r="61" spans="1:21" x14ac:dyDescent="0.35">
      <c r="A61" s="45">
        <v>192320</v>
      </c>
      <c r="B61" s="46">
        <v>46142.673888888901</v>
      </c>
      <c r="C61" s="47" t="s">
        <v>669</v>
      </c>
      <c r="D61" s="47" t="s">
        <v>652</v>
      </c>
      <c r="E61" s="45" t="s">
        <v>670</v>
      </c>
      <c r="F61" s="49">
        <v>636624.69999999995</v>
      </c>
      <c r="G61" s="49">
        <v>132.97</v>
      </c>
      <c r="H61" s="49">
        <v>132.97</v>
      </c>
      <c r="I61" s="49">
        <v>0</v>
      </c>
      <c r="J61" s="49">
        <v>0</v>
      </c>
      <c r="K61" s="49">
        <v>0</v>
      </c>
      <c r="L61" s="39">
        <v>0</v>
      </c>
      <c r="M61" s="39">
        <v>0</v>
      </c>
      <c r="N61" s="39">
        <v>0</v>
      </c>
      <c r="O61" s="52">
        <f t="shared" si="6"/>
        <v>132.97</v>
      </c>
      <c r="P61" s="49"/>
      <c r="Q61" s="47"/>
      <c r="R61" s="47"/>
      <c r="S61" s="47" t="s">
        <v>653</v>
      </c>
      <c r="T61" s="38" t="s">
        <v>598</v>
      </c>
      <c r="U61" s="44" t="s">
        <v>654</v>
      </c>
    </row>
    <row r="62" spans="1:21" x14ac:dyDescent="0.35">
      <c r="A62" s="45">
        <v>193815</v>
      </c>
      <c r="B62" s="46">
        <v>46177.593379629601</v>
      </c>
      <c r="C62" s="47" t="s">
        <v>671</v>
      </c>
      <c r="D62" s="47" t="s">
        <v>652</v>
      </c>
      <c r="E62" s="45" t="s">
        <v>672</v>
      </c>
      <c r="F62" s="49">
        <v>13813.65</v>
      </c>
      <c r="G62" s="49">
        <v>1380.4</v>
      </c>
      <c r="H62" s="49">
        <v>0</v>
      </c>
      <c r="I62" s="49">
        <v>0</v>
      </c>
      <c r="J62" s="49">
        <v>0</v>
      </c>
      <c r="K62" s="49">
        <v>0</v>
      </c>
      <c r="L62" s="39">
        <v>0</v>
      </c>
      <c r="M62" s="39">
        <v>1380.4</v>
      </c>
      <c r="N62" s="39">
        <v>0</v>
      </c>
      <c r="O62" s="52">
        <f t="shared" si="6"/>
        <v>1380.4</v>
      </c>
      <c r="P62" s="49"/>
      <c r="Q62" s="47"/>
      <c r="R62" s="47"/>
      <c r="S62" s="47" t="s">
        <v>653</v>
      </c>
      <c r="T62" s="38" t="s">
        <v>598</v>
      </c>
      <c r="U62" s="44" t="s">
        <v>654</v>
      </c>
    </row>
    <row r="63" spans="1:21" x14ac:dyDescent="0.35">
      <c r="A63" s="45">
        <v>193633</v>
      </c>
      <c r="B63" s="46">
        <v>46178.681446759299</v>
      </c>
      <c r="C63" s="47" t="s">
        <v>673</v>
      </c>
      <c r="D63" s="47" t="s">
        <v>652</v>
      </c>
      <c r="E63" s="45" t="s">
        <v>674</v>
      </c>
      <c r="F63" s="49">
        <v>13799.99</v>
      </c>
      <c r="G63" s="49">
        <v>1554.4</v>
      </c>
      <c r="H63" s="49">
        <v>0</v>
      </c>
      <c r="I63" s="49">
        <v>0</v>
      </c>
      <c r="J63" s="49">
        <v>0</v>
      </c>
      <c r="K63" s="49">
        <v>0</v>
      </c>
      <c r="L63" s="39">
        <v>0</v>
      </c>
      <c r="M63" s="39">
        <v>1554.4</v>
      </c>
      <c r="N63" s="39">
        <v>0</v>
      </c>
      <c r="O63" s="52">
        <f t="shared" si="6"/>
        <v>1554.4</v>
      </c>
      <c r="P63" s="49"/>
      <c r="Q63" s="47"/>
      <c r="R63" s="47"/>
      <c r="S63" s="47" t="s">
        <v>653</v>
      </c>
      <c r="T63" s="38" t="s">
        <v>598</v>
      </c>
      <c r="U63" s="44" t="s">
        <v>654</v>
      </c>
    </row>
    <row r="64" spans="1:21" x14ac:dyDescent="0.35">
      <c r="A64" s="45">
        <v>193798</v>
      </c>
      <c r="B64" s="46">
        <v>46184.666886574101</v>
      </c>
      <c r="C64" s="47" t="s">
        <v>675</v>
      </c>
      <c r="D64" s="47" t="s">
        <v>652</v>
      </c>
      <c r="E64" s="45" t="s">
        <v>676</v>
      </c>
      <c r="F64" s="49">
        <v>11526.92</v>
      </c>
      <c r="G64" s="49">
        <v>12.76</v>
      </c>
      <c r="H64" s="49">
        <v>12.76</v>
      </c>
      <c r="I64" s="49">
        <v>0</v>
      </c>
      <c r="J64" s="49">
        <v>0</v>
      </c>
      <c r="K64" s="49">
        <v>0</v>
      </c>
      <c r="L64" s="39">
        <v>0</v>
      </c>
      <c r="M64" s="39">
        <v>0</v>
      </c>
      <c r="N64" s="39">
        <v>0</v>
      </c>
      <c r="O64" s="52">
        <f t="shared" si="6"/>
        <v>12.76</v>
      </c>
      <c r="P64" s="49"/>
      <c r="Q64" s="47"/>
      <c r="R64" s="47"/>
      <c r="S64" s="47" t="s">
        <v>653</v>
      </c>
      <c r="T64" s="38" t="s">
        <v>598</v>
      </c>
      <c r="U64" s="44" t="s">
        <v>654</v>
      </c>
    </row>
    <row r="65" spans="1:21" x14ac:dyDescent="0.35">
      <c r="A65" s="45">
        <v>193800</v>
      </c>
      <c r="B65" s="46">
        <v>46184.668993055602</v>
      </c>
      <c r="C65" s="47" t="s">
        <v>677</v>
      </c>
      <c r="D65" s="47" t="s">
        <v>652</v>
      </c>
      <c r="E65" s="45" t="s">
        <v>678</v>
      </c>
      <c r="F65" s="49">
        <v>4170.78</v>
      </c>
      <c r="G65" s="49">
        <v>8.7100000000000009</v>
      </c>
      <c r="H65" s="49">
        <v>8.7100000000000009</v>
      </c>
      <c r="I65" s="49">
        <v>0</v>
      </c>
      <c r="J65" s="49">
        <v>0</v>
      </c>
      <c r="K65" s="49">
        <v>0</v>
      </c>
      <c r="L65" s="39">
        <v>0</v>
      </c>
      <c r="M65" s="39">
        <v>0</v>
      </c>
      <c r="N65" s="39">
        <v>0</v>
      </c>
      <c r="O65" s="52">
        <f t="shared" si="6"/>
        <v>8.7100000000000009</v>
      </c>
      <c r="P65" s="49"/>
      <c r="Q65" s="47"/>
      <c r="R65" s="47"/>
      <c r="S65" s="47" t="s">
        <v>653</v>
      </c>
      <c r="T65" s="38" t="s">
        <v>598</v>
      </c>
      <c r="U65" s="44" t="s">
        <v>654</v>
      </c>
    </row>
    <row r="66" spans="1:21" x14ac:dyDescent="0.35">
      <c r="A66" s="45">
        <v>193802</v>
      </c>
      <c r="B66" s="46">
        <v>46186.393136574101</v>
      </c>
      <c r="C66" s="47" t="s">
        <v>679</v>
      </c>
      <c r="D66" s="47" t="s">
        <v>652</v>
      </c>
      <c r="E66" s="45" t="s">
        <v>680</v>
      </c>
      <c r="F66" s="49">
        <v>7079.06</v>
      </c>
      <c r="G66" s="49">
        <v>5.93</v>
      </c>
      <c r="H66" s="49">
        <v>5.93</v>
      </c>
      <c r="I66" s="49">
        <v>0</v>
      </c>
      <c r="J66" s="49">
        <v>0</v>
      </c>
      <c r="K66" s="49">
        <v>0</v>
      </c>
      <c r="L66" s="39">
        <v>0</v>
      </c>
      <c r="M66" s="39">
        <v>0</v>
      </c>
      <c r="N66" s="39">
        <v>0</v>
      </c>
      <c r="O66" s="52">
        <f t="shared" si="6"/>
        <v>5.93</v>
      </c>
      <c r="P66" s="49"/>
      <c r="Q66" s="47"/>
      <c r="R66" s="47"/>
      <c r="S66" s="47" t="s">
        <v>653</v>
      </c>
      <c r="T66" s="38" t="s">
        <v>598</v>
      </c>
      <c r="U66" s="44" t="s">
        <v>654</v>
      </c>
    </row>
    <row r="67" spans="1:21" x14ac:dyDescent="0.35">
      <c r="A67" s="45">
        <v>194167</v>
      </c>
      <c r="B67" s="46">
        <v>46197.733888888899</v>
      </c>
      <c r="C67" s="47" t="s">
        <v>681</v>
      </c>
      <c r="D67" s="47" t="s">
        <v>652</v>
      </c>
      <c r="E67" s="45" t="s">
        <v>682</v>
      </c>
      <c r="F67" s="49">
        <v>474567.97</v>
      </c>
      <c r="G67" s="49">
        <v>269.55</v>
      </c>
      <c r="H67" s="49">
        <v>269.55</v>
      </c>
      <c r="I67" s="49">
        <v>0</v>
      </c>
      <c r="J67" s="49">
        <v>0</v>
      </c>
      <c r="K67" s="49">
        <v>0</v>
      </c>
      <c r="L67" s="39">
        <v>0</v>
      </c>
      <c r="M67" s="39">
        <v>0</v>
      </c>
      <c r="N67" s="39">
        <v>0</v>
      </c>
      <c r="O67" s="52">
        <f t="shared" si="6"/>
        <v>269.55</v>
      </c>
      <c r="P67" s="49"/>
      <c r="Q67" s="47"/>
      <c r="R67" s="47"/>
      <c r="S67" s="47" t="s">
        <v>653</v>
      </c>
      <c r="T67" s="38" t="s">
        <v>598</v>
      </c>
      <c r="U67" s="44" t="s">
        <v>654</v>
      </c>
    </row>
    <row r="68" spans="1:21" x14ac:dyDescent="0.35">
      <c r="A68" s="45">
        <v>194158</v>
      </c>
      <c r="B68" s="46">
        <v>46203.705636574101</v>
      </c>
      <c r="C68" s="47" t="s">
        <v>683</v>
      </c>
      <c r="D68" s="47" t="s">
        <v>652</v>
      </c>
      <c r="E68" s="45" t="s">
        <v>684</v>
      </c>
      <c r="F68" s="49">
        <v>4281.55</v>
      </c>
      <c r="G68" s="49">
        <v>214.08</v>
      </c>
      <c r="H68" s="49">
        <v>0</v>
      </c>
      <c r="I68" s="49">
        <v>0</v>
      </c>
      <c r="J68" s="49">
        <v>0</v>
      </c>
      <c r="K68" s="49">
        <v>0</v>
      </c>
      <c r="L68" s="39">
        <v>214.08</v>
      </c>
      <c r="M68" s="39">
        <v>0</v>
      </c>
      <c r="N68" s="39">
        <v>0</v>
      </c>
      <c r="O68" s="52">
        <f t="shared" si="6"/>
        <v>214.08</v>
      </c>
      <c r="P68" s="49"/>
      <c r="Q68" s="47"/>
      <c r="R68" s="47"/>
      <c r="S68" s="47" t="s">
        <v>653</v>
      </c>
      <c r="T68" s="38" t="s">
        <v>598</v>
      </c>
      <c r="U68" s="44" t="s">
        <v>654</v>
      </c>
    </row>
    <row r="69" spans="1:21" x14ac:dyDescent="0.35">
      <c r="A69" s="45">
        <v>194165</v>
      </c>
      <c r="B69" s="46">
        <v>46203.707673611098</v>
      </c>
      <c r="C69" s="47" t="s">
        <v>685</v>
      </c>
      <c r="D69" s="47" t="s">
        <v>652</v>
      </c>
      <c r="E69" s="45" t="s">
        <v>686</v>
      </c>
      <c r="F69" s="49">
        <v>49534.87</v>
      </c>
      <c r="G69" s="49">
        <v>2420.44</v>
      </c>
      <c r="H69" s="49">
        <v>174.82</v>
      </c>
      <c r="I69" s="49">
        <v>0</v>
      </c>
      <c r="J69" s="49">
        <v>0</v>
      </c>
      <c r="K69" s="49">
        <v>0</v>
      </c>
      <c r="L69" s="39">
        <v>2245.62</v>
      </c>
      <c r="M69" s="39">
        <v>0</v>
      </c>
      <c r="N69" s="39">
        <v>0</v>
      </c>
      <c r="O69" s="52">
        <f t="shared" si="6"/>
        <v>2420.44</v>
      </c>
      <c r="P69" s="49"/>
      <c r="Q69" s="47"/>
      <c r="R69" s="47"/>
      <c r="S69" s="47" t="s">
        <v>653</v>
      </c>
      <c r="T69" s="38" t="s">
        <v>598</v>
      </c>
      <c r="U69" s="44" t="s">
        <v>654</v>
      </c>
    </row>
    <row r="70" spans="1:21" x14ac:dyDescent="0.35">
      <c r="A70" s="57">
        <v>193946</v>
      </c>
      <c r="B70" s="56">
        <v>46196</v>
      </c>
      <c r="C70" s="47" t="s">
        <v>687</v>
      </c>
      <c r="D70" s="47" t="s">
        <v>688</v>
      </c>
      <c r="E70" s="47">
        <v>293092</v>
      </c>
      <c r="F70" s="49">
        <v>81395.34</v>
      </c>
      <c r="G70" s="49">
        <v>2.23</v>
      </c>
      <c r="H70" s="49">
        <v>2.23</v>
      </c>
      <c r="I70" s="49">
        <v>0</v>
      </c>
      <c r="J70" s="49">
        <v>0</v>
      </c>
      <c r="K70" s="49">
        <v>0</v>
      </c>
      <c r="L70" s="49">
        <v>0</v>
      </c>
      <c r="M70" s="49">
        <v>0</v>
      </c>
      <c r="N70" s="49">
        <v>0</v>
      </c>
      <c r="O70" s="49">
        <f>H70+I70+J70+K70+L70+M70+N70</f>
        <v>2.23</v>
      </c>
      <c r="P70" s="47"/>
      <c r="Q70" s="47"/>
      <c r="R70" s="47"/>
      <c r="S70" s="47" t="s">
        <v>689</v>
      </c>
      <c r="T70" s="53" t="s">
        <v>616</v>
      </c>
      <c r="U70" s="47"/>
    </row>
    <row r="71" spans="1:21" x14ac:dyDescent="0.35">
      <c r="A71" s="45">
        <v>194028</v>
      </c>
      <c r="B71" s="56">
        <v>46198</v>
      </c>
      <c r="C71" s="47" t="s">
        <v>690</v>
      </c>
      <c r="D71" s="47" t="s">
        <v>691</v>
      </c>
      <c r="E71" s="47">
        <v>206363645</v>
      </c>
      <c r="F71" s="49">
        <v>7768.93</v>
      </c>
      <c r="G71" s="49">
        <v>116.53</v>
      </c>
      <c r="H71" s="49">
        <v>0</v>
      </c>
      <c r="I71" s="49">
        <v>0</v>
      </c>
      <c r="J71" s="49">
        <v>0</v>
      </c>
      <c r="K71" s="49">
        <v>0</v>
      </c>
      <c r="L71" s="49">
        <v>116.53</v>
      </c>
      <c r="M71" s="49">
        <v>0</v>
      </c>
      <c r="N71" s="49">
        <v>0</v>
      </c>
      <c r="O71" s="49">
        <f>H71+I71+J71+K71+L71+M71+N71</f>
        <v>116.53</v>
      </c>
      <c r="P71" s="47"/>
      <c r="Q71" s="47"/>
      <c r="R71" s="47"/>
      <c r="S71" s="47" t="s">
        <v>689</v>
      </c>
      <c r="T71" s="53" t="s">
        <v>578</v>
      </c>
      <c r="U71" s="47"/>
    </row>
    <row r="72" spans="1:21" x14ac:dyDescent="0.35">
      <c r="A72" s="45">
        <v>191312</v>
      </c>
      <c r="B72" s="56" t="s">
        <v>692</v>
      </c>
      <c r="C72" s="47" t="s">
        <v>693</v>
      </c>
      <c r="D72" s="47" t="s">
        <v>694</v>
      </c>
      <c r="E72" s="47">
        <v>1603</v>
      </c>
      <c r="F72" s="49">
        <v>9280</v>
      </c>
      <c r="G72" s="49">
        <v>139.19999999999999</v>
      </c>
      <c r="H72" s="49">
        <v>0</v>
      </c>
      <c r="I72" s="49">
        <v>0</v>
      </c>
      <c r="J72" s="49">
        <v>0</v>
      </c>
      <c r="K72" s="49">
        <v>0</v>
      </c>
      <c r="L72" s="49">
        <v>0</v>
      </c>
      <c r="M72" s="49">
        <v>0</v>
      </c>
      <c r="N72" s="49">
        <v>139.19999999999999</v>
      </c>
      <c r="O72" s="49">
        <f t="shared" ref="O72:P87" si="7">H72+I72+J72+K72+L72+M72+N72</f>
        <v>139.19999999999999</v>
      </c>
      <c r="P72" s="47"/>
      <c r="Q72" s="47"/>
      <c r="R72" s="47"/>
      <c r="S72" s="47" t="s">
        <v>689</v>
      </c>
      <c r="T72" s="53" t="s">
        <v>598</v>
      </c>
      <c r="U72" s="44" t="s">
        <v>78</v>
      </c>
    </row>
    <row r="73" spans="1:21" x14ac:dyDescent="0.35">
      <c r="A73" s="45">
        <v>194573</v>
      </c>
      <c r="B73" s="56" t="s">
        <v>695</v>
      </c>
      <c r="C73" s="47" t="s">
        <v>696</v>
      </c>
      <c r="D73" s="47" t="s">
        <v>697</v>
      </c>
      <c r="E73" s="47">
        <v>30256094</v>
      </c>
      <c r="F73" s="49">
        <v>696</v>
      </c>
      <c r="G73" s="49">
        <v>17.400000000000002</v>
      </c>
      <c r="H73" s="49">
        <v>0</v>
      </c>
      <c r="I73" s="49">
        <v>0</v>
      </c>
      <c r="J73" s="49">
        <v>0</v>
      </c>
      <c r="K73" s="49">
        <v>0</v>
      </c>
      <c r="L73" s="49">
        <v>17.400000000000002</v>
      </c>
      <c r="M73" s="49">
        <v>0</v>
      </c>
      <c r="N73" s="49">
        <v>0</v>
      </c>
      <c r="O73" s="49">
        <f t="shared" si="7"/>
        <v>17.400000000000002</v>
      </c>
      <c r="P73" s="47"/>
      <c r="Q73" s="47"/>
      <c r="R73" s="47"/>
      <c r="S73" s="47" t="s">
        <v>689</v>
      </c>
      <c r="T73" s="53" t="s">
        <v>616</v>
      </c>
      <c r="U73" s="44" t="s">
        <v>16</v>
      </c>
    </row>
    <row r="74" spans="1:21" x14ac:dyDescent="0.35">
      <c r="A74" s="45">
        <v>194910</v>
      </c>
      <c r="B74" s="56" t="s">
        <v>698</v>
      </c>
      <c r="C74" s="47" t="s">
        <v>699</v>
      </c>
      <c r="D74" s="47" t="s">
        <v>697</v>
      </c>
      <c r="E74" s="47">
        <v>30282219</v>
      </c>
      <c r="F74" s="49">
        <v>41507.68</v>
      </c>
      <c r="G74" s="49">
        <v>1037.692</v>
      </c>
      <c r="H74" s="49">
        <v>0</v>
      </c>
      <c r="I74" s="49">
        <v>0</v>
      </c>
      <c r="J74" s="49">
        <v>0</v>
      </c>
      <c r="K74" s="49">
        <v>0</v>
      </c>
      <c r="L74" s="49">
        <v>1037.692</v>
      </c>
      <c r="M74" s="49">
        <v>0</v>
      </c>
      <c r="N74" s="49">
        <v>0</v>
      </c>
      <c r="O74" s="49">
        <f t="shared" si="7"/>
        <v>1037.692</v>
      </c>
      <c r="P74" s="47"/>
      <c r="Q74" s="47"/>
      <c r="R74" s="47"/>
      <c r="S74" s="47" t="s">
        <v>689</v>
      </c>
      <c r="T74" s="53" t="s">
        <v>616</v>
      </c>
      <c r="U74" s="44" t="s">
        <v>16</v>
      </c>
    </row>
    <row r="75" spans="1:21" x14ac:dyDescent="0.35">
      <c r="A75" s="45">
        <v>195231</v>
      </c>
      <c r="B75" s="56" t="s">
        <v>700</v>
      </c>
      <c r="C75" s="47" t="s">
        <v>701</v>
      </c>
      <c r="D75" s="47" t="s">
        <v>697</v>
      </c>
      <c r="E75" s="47">
        <v>30308107</v>
      </c>
      <c r="F75" s="49">
        <v>227352.69</v>
      </c>
      <c r="G75" s="49">
        <v>9060.23</v>
      </c>
      <c r="H75" s="49">
        <v>3465.96</v>
      </c>
      <c r="I75" s="49">
        <v>0</v>
      </c>
      <c r="J75" s="49">
        <v>0</v>
      </c>
      <c r="K75" s="49">
        <v>0</v>
      </c>
      <c r="L75" s="49">
        <v>5594.268250000001</v>
      </c>
      <c r="M75" s="49">
        <v>0</v>
      </c>
      <c r="N75" s="49">
        <v>0</v>
      </c>
      <c r="O75" s="49">
        <f t="shared" si="7"/>
        <v>9060.2282500000001</v>
      </c>
      <c r="P75" s="47"/>
      <c r="Q75" s="47"/>
      <c r="R75" s="47"/>
      <c r="S75" s="47" t="s">
        <v>689</v>
      </c>
      <c r="T75" s="53" t="s">
        <v>616</v>
      </c>
      <c r="U75" s="44" t="s">
        <v>16</v>
      </c>
    </row>
    <row r="76" spans="1:21" x14ac:dyDescent="0.35">
      <c r="A76" s="45">
        <v>195758</v>
      </c>
      <c r="B76" s="56">
        <v>46233</v>
      </c>
      <c r="C76" s="47" t="s">
        <v>702</v>
      </c>
      <c r="D76" s="47" t="s">
        <v>697</v>
      </c>
      <c r="E76" s="47">
        <v>30355753</v>
      </c>
      <c r="F76" s="49">
        <v>77397.98</v>
      </c>
      <c r="G76" s="49">
        <v>333.48</v>
      </c>
      <c r="H76" s="49">
        <v>333.48</v>
      </c>
      <c r="I76" s="49">
        <v>0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49">
        <f t="shared" si="7"/>
        <v>333.48</v>
      </c>
      <c r="P76" s="47"/>
      <c r="Q76" s="47"/>
      <c r="R76" s="47"/>
      <c r="S76" s="47" t="s">
        <v>689</v>
      </c>
      <c r="T76" s="53" t="s">
        <v>616</v>
      </c>
      <c r="U76" s="44" t="s">
        <v>16</v>
      </c>
    </row>
    <row r="77" spans="1:21" x14ac:dyDescent="0.35">
      <c r="A77" s="45">
        <v>196116</v>
      </c>
      <c r="B77" s="56">
        <v>46238</v>
      </c>
      <c r="C77" s="47" t="s">
        <v>703</v>
      </c>
      <c r="D77" s="47" t="s">
        <v>697</v>
      </c>
      <c r="E77" s="47">
        <v>30370942</v>
      </c>
      <c r="F77" s="49">
        <v>39992.160000000003</v>
      </c>
      <c r="G77" s="49">
        <v>999.80400000000009</v>
      </c>
      <c r="H77" s="49">
        <v>0</v>
      </c>
      <c r="I77" s="49">
        <v>0</v>
      </c>
      <c r="J77" s="49">
        <v>0</v>
      </c>
      <c r="K77" s="49">
        <v>0</v>
      </c>
      <c r="L77" s="49">
        <v>999.80400000000009</v>
      </c>
      <c r="M77" s="49">
        <v>0</v>
      </c>
      <c r="N77" s="49">
        <v>0</v>
      </c>
      <c r="O77" s="49">
        <f t="shared" si="7"/>
        <v>999.80400000000009</v>
      </c>
      <c r="P77" s="49">
        <f t="shared" si="7"/>
        <v>1999.6080000000002</v>
      </c>
      <c r="Q77" s="58">
        <v>46266</v>
      </c>
      <c r="R77" s="59">
        <v>30475530</v>
      </c>
      <c r="S77" s="47" t="s">
        <v>526</v>
      </c>
      <c r="T77" s="53" t="s">
        <v>616</v>
      </c>
      <c r="U77" s="44" t="s">
        <v>16</v>
      </c>
    </row>
    <row r="78" spans="1:21" x14ac:dyDescent="0.35">
      <c r="A78" s="45">
        <v>194909</v>
      </c>
      <c r="B78" s="56" t="s">
        <v>704</v>
      </c>
      <c r="C78" s="47" t="s">
        <v>705</v>
      </c>
      <c r="D78" s="47" t="s">
        <v>697</v>
      </c>
      <c r="E78" s="47">
        <v>30303025</v>
      </c>
      <c r="F78" s="49">
        <v>9355.91</v>
      </c>
      <c r="G78" s="49">
        <v>233.89775</v>
      </c>
      <c r="H78" s="49">
        <v>0</v>
      </c>
      <c r="I78" s="49">
        <v>0</v>
      </c>
      <c r="J78" s="49">
        <v>0</v>
      </c>
      <c r="K78" s="49">
        <v>0</v>
      </c>
      <c r="L78" s="49">
        <v>233.89775</v>
      </c>
      <c r="M78" s="49">
        <v>0</v>
      </c>
      <c r="N78" s="49">
        <v>0</v>
      </c>
      <c r="O78" s="49">
        <f t="shared" si="7"/>
        <v>233.89775</v>
      </c>
      <c r="P78" s="49">
        <f t="shared" si="7"/>
        <v>467.7955</v>
      </c>
      <c r="Q78" s="58">
        <v>46266</v>
      </c>
      <c r="R78" s="59">
        <v>30475530</v>
      </c>
      <c r="S78" s="47" t="s">
        <v>526</v>
      </c>
      <c r="T78" s="53" t="s">
        <v>616</v>
      </c>
      <c r="U78" s="44" t="s">
        <v>16</v>
      </c>
    </row>
    <row r="79" spans="1:21" x14ac:dyDescent="0.35">
      <c r="A79" s="45">
        <v>195332</v>
      </c>
      <c r="B79" s="56" t="s">
        <v>706</v>
      </c>
      <c r="C79" s="47" t="s">
        <v>707</v>
      </c>
      <c r="D79" s="47" t="s">
        <v>697</v>
      </c>
      <c r="E79" s="47">
        <v>30313114</v>
      </c>
      <c r="F79" s="49">
        <v>9025.39</v>
      </c>
      <c r="G79" s="49">
        <v>225.63475</v>
      </c>
      <c r="H79" s="49">
        <v>0</v>
      </c>
      <c r="I79" s="49">
        <v>0</v>
      </c>
      <c r="J79" s="49">
        <v>0</v>
      </c>
      <c r="K79" s="49">
        <v>0</v>
      </c>
      <c r="L79" s="49">
        <v>225.63475</v>
      </c>
      <c r="M79" s="49">
        <v>0</v>
      </c>
      <c r="N79" s="49">
        <v>0</v>
      </c>
      <c r="O79" s="49">
        <f t="shared" si="7"/>
        <v>225.63475</v>
      </c>
      <c r="P79" s="49">
        <f t="shared" si="7"/>
        <v>451.26949999999999</v>
      </c>
      <c r="Q79" s="58">
        <v>46266</v>
      </c>
      <c r="R79" s="59">
        <v>30475530</v>
      </c>
      <c r="S79" s="47" t="s">
        <v>526</v>
      </c>
      <c r="T79" s="53" t="s">
        <v>616</v>
      </c>
      <c r="U79" s="44" t="s">
        <v>16</v>
      </c>
    </row>
    <row r="80" spans="1:21" x14ac:dyDescent="0.35">
      <c r="A80" s="45">
        <v>195199</v>
      </c>
      <c r="B80" s="56" t="s">
        <v>708</v>
      </c>
      <c r="C80" s="47" t="s">
        <v>709</v>
      </c>
      <c r="D80" s="47" t="s">
        <v>697</v>
      </c>
      <c r="E80" s="47">
        <v>30223718</v>
      </c>
      <c r="F80" s="49">
        <v>1559.32</v>
      </c>
      <c r="G80" s="49">
        <v>38.983000000000004</v>
      </c>
      <c r="H80" s="49">
        <v>0</v>
      </c>
      <c r="I80" s="49">
        <v>0</v>
      </c>
      <c r="J80" s="49">
        <v>0</v>
      </c>
      <c r="K80" s="49">
        <v>0</v>
      </c>
      <c r="L80" s="49">
        <v>38.983000000000004</v>
      </c>
      <c r="M80" s="49">
        <v>0</v>
      </c>
      <c r="N80" s="49">
        <v>0</v>
      </c>
      <c r="O80" s="49">
        <f t="shared" si="7"/>
        <v>38.983000000000004</v>
      </c>
      <c r="P80" s="49">
        <f t="shared" si="7"/>
        <v>77.966000000000008</v>
      </c>
      <c r="Q80" s="58">
        <v>46266</v>
      </c>
      <c r="R80" s="59">
        <v>30475530</v>
      </c>
      <c r="S80" s="47" t="s">
        <v>526</v>
      </c>
      <c r="T80" s="53" t="s">
        <v>616</v>
      </c>
      <c r="U80" s="44" t="s">
        <v>16</v>
      </c>
    </row>
    <row r="81" spans="1:21" x14ac:dyDescent="0.35">
      <c r="A81" s="45">
        <v>193544</v>
      </c>
      <c r="B81" s="56" t="s">
        <v>710</v>
      </c>
      <c r="C81" s="47" t="s">
        <v>711</v>
      </c>
      <c r="D81" s="47" t="s">
        <v>712</v>
      </c>
      <c r="E81" s="47">
        <v>880023</v>
      </c>
      <c r="F81" s="49">
        <v>49500.24</v>
      </c>
      <c r="G81" s="49">
        <v>2729.0537999999997</v>
      </c>
      <c r="H81" s="49">
        <v>0</v>
      </c>
      <c r="I81" s="49">
        <v>0</v>
      </c>
      <c r="J81" s="49">
        <v>0</v>
      </c>
      <c r="K81" s="49">
        <v>0</v>
      </c>
      <c r="L81" s="49">
        <v>2729.0537999999997</v>
      </c>
      <c r="M81" s="49">
        <v>0</v>
      </c>
      <c r="N81" s="49">
        <v>0</v>
      </c>
      <c r="O81" s="49">
        <f t="shared" si="7"/>
        <v>2729.0537999999997</v>
      </c>
      <c r="P81" s="47"/>
      <c r="Q81" s="47"/>
      <c r="R81" s="47"/>
      <c r="S81" s="47" t="s">
        <v>689</v>
      </c>
      <c r="T81" s="53" t="s">
        <v>616</v>
      </c>
      <c r="U81" s="44" t="s">
        <v>654</v>
      </c>
    </row>
    <row r="82" spans="1:21" x14ac:dyDescent="0.35">
      <c r="A82" s="45">
        <v>193877</v>
      </c>
      <c r="B82" s="56" t="s">
        <v>713</v>
      </c>
      <c r="C82" s="47" t="s">
        <v>714</v>
      </c>
      <c r="D82" s="47" t="s">
        <v>712</v>
      </c>
      <c r="E82" s="47">
        <v>881365</v>
      </c>
      <c r="F82" s="49">
        <v>1856.58</v>
      </c>
      <c r="G82" s="49">
        <v>108.35699999999999</v>
      </c>
      <c r="H82" s="49">
        <v>0</v>
      </c>
      <c r="I82" s="49">
        <v>0</v>
      </c>
      <c r="J82" s="49">
        <v>0</v>
      </c>
      <c r="K82" s="49">
        <v>0</v>
      </c>
      <c r="L82" s="49">
        <v>108.35699999999999</v>
      </c>
      <c r="M82" s="49">
        <v>0</v>
      </c>
      <c r="N82" s="49">
        <v>0</v>
      </c>
      <c r="O82" s="49">
        <f t="shared" si="7"/>
        <v>108.35699999999999</v>
      </c>
      <c r="P82" s="47"/>
      <c r="Q82" s="47"/>
      <c r="R82" s="47"/>
      <c r="S82" s="47" t="s">
        <v>689</v>
      </c>
      <c r="T82" s="53" t="s">
        <v>616</v>
      </c>
      <c r="U82" s="44" t="s">
        <v>654</v>
      </c>
    </row>
    <row r="83" spans="1:21" x14ac:dyDescent="0.35">
      <c r="A83" s="45">
        <v>195420</v>
      </c>
      <c r="B83" s="56" t="s">
        <v>715</v>
      </c>
      <c r="C83" s="47" t="s">
        <v>716</v>
      </c>
      <c r="D83" s="47" t="s">
        <v>712</v>
      </c>
      <c r="E83" s="47">
        <v>888366</v>
      </c>
      <c r="F83" s="49">
        <v>13531.66</v>
      </c>
      <c r="G83" s="49">
        <v>811.89959999999996</v>
      </c>
      <c r="H83" s="49">
        <v>0</v>
      </c>
      <c r="I83" s="49">
        <v>0</v>
      </c>
      <c r="J83" s="49">
        <v>0</v>
      </c>
      <c r="K83" s="49">
        <v>0</v>
      </c>
      <c r="L83" s="49">
        <v>811.89959999999996</v>
      </c>
      <c r="M83" s="49">
        <v>0</v>
      </c>
      <c r="N83" s="49">
        <v>0</v>
      </c>
      <c r="O83" s="49">
        <f t="shared" si="7"/>
        <v>811.89959999999996</v>
      </c>
      <c r="P83" s="47"/>
      <c r="Q83" s="47"/>
      <c r="R83" s="47"/>
      <c r="S83" s="47" t="s">
        <v>689</v>
      </c>
      <c r="T83" s="53" t="s">
        <v>616</v>
      </c>
      <c r="U83" s="44" t="s">
        <v>654</v>
      </c>
    </row>
    <row r="84" spans="1:21" x14ac:dyDescent="0.35">
      <c r="A84" s="45">
        <v>196026</v>
      </c>
      <c r="B84" s="56">
        <v>46248</v>
      </c>
      <c r="C84" s="47" t="s">
        <v>717</v>
      </c>
      <c r="D84" s="47" t="s">
        <v>712</v>
      </c>
      <c r="E84" s="47">
        <v>890500</v>
      </c>
      <c r="F84" s="49">
        <v>18130.099999999999</v>
      </c>
      <c r="G84" s="49">
        <v>725.20399999999995</v>
      </c>
      <c r="H84" s="49">
        <v>0</v>
      </c>
      <c r="I84" s="49">
        <v>0</v>
      </c>
      <c r="J84" s="49">
        <v>0</v>
      </c>
      <c r="K84" s="49">
        <v>0</v>
      </c>
      <c r="L84" s="49">
        <v>725.20399999999995</v>
      </c>
      <c r="M84" s="49">
        <v>0</v>
      </c>
      <c r="N84" s="49">
        <v>0</v>
      </c>
      <c r="O84" s="49">
        <f t="shared" si="7"/>
        <v>725.20399999999995</v>
      </c>
      <c r="P84" s="47"/>
      <c r="Q84" s="47"/>
      <c r="R84" s="47"/>
      <c r="S84" s="47" t="s">
        <v>689</v>
      </c>
      <c r="T84" s="53" t="s">
        <v>616</v>
      </c>
      <c r="U84" s="44" t="s">
        <v>654</v>
      </c>
    </row>
    <row r="85" spans="1:21" x14ac:dyDescent="0.35">
      <c r="A85" s="45">
        <v>193090</v>
      </c>
      <c r="B85" s="56">
        <v>46172.488923611098</v>
      </c>
      <c r="C85" s="47" t="s">
        <v>718</v>
      </c>
      <c r="D85" s="47" t="s">
        <v>719</v>
      </c>
      <c r="E85" s="47">
        <v>472700</v>
      </c>
      <c r="F85" s="49">
        <v>34194.019999999997</v>
      </c>
      <c r="G85" s="49">
        <v>931.35</v>
      </c>
      <c r="H85" s="49">
        <v>613.05999999999995</v>
      </c>
      <c r="I85" s="49">
        <v>0</v>
      </c>
      <c r="J85" s="49">
        <v>0</v>
      </c>
      <c r="K85" s="49">
        <v>0</v>
      </c>
      <c r="L85" s="49">
        <v>318.29000000000008</v>
      </c>
      <c r="M85" s="49">
        <v>0</v>
      </c>
      <c r="N85" s="49">
        <v>0</v>
      </c>
      <c r="O85" s="49">
        <f t="shared" si="7"/>
        <v>931.35</v>
      </c>
      <c r="P85" s="47"/>
      <c r="Q85" s="47"/>
      <c r="R85" s="47"/>
      <c r="S85" s="47" t="s">
        <v>689</v>
      </c>
      <c r="T85" s="53" t="s">
        <v>609</v>
      </c>
      <c r="U85" s="47"/>
    </row>
    <row r="86" spans="1:21" x14ac:dyDescent="0.35">
      <c r="A86" s="45">
        <v>195628</v>
      </c>
      <c r="B86" s="56">
        <v>46238.842280092598</v>
      </c>
      <c r="C86" s="47" t="s">
        <v>720</v>
      </c>
      <c r="D86" s="47" t="s">
        <v>719</v>
      </c>
      <c r="E86" s="47">
        <v>481816</v>
      </c>
      <c r="F86" s="49">
        <v>73711.62</v>
      </c>
      <c r="G86" s="49">
        <v>732.19999999999982</v>
      </c>
      <c r="H86" s="49">
        <v>0</v>
      </c>
      <c r="I86" s="49">
        <v>0</v>
      </c>
      <c r="J86" s="49">
        <v>0</v>
      </c>
      <c r="K86" s="49">
        <v>0</v>
      </c>
      <c r="L86" s="49">
        <v>732.19999999999982</v>
      </c>
      <c r="M86" s="49">
        <v>0</v>
      </c>
      <c r="N86" s="49">
        <v>0</v>
      </c>
      <c r="O86" s="49">
        <f t="shared" si="7"/>
        <v>732.19999999999982</v>
      </c>
      <c r="P86" s="47"/>
      <c r="Q86" s="47"/>
      <c r="R86" s="47"/>
      <c r="S86" s="47" t="s">
        <v>689</v>
      </c>
      <c r="T86" s="53" t="s">
        <v>609</v>
      </c>
      <c r="U86" s="47"/>
    </row>
    <row r="87" spans="1:21" x14ac:dyDescent="0.35">
      <c r="A87" s="45">
        <v>195627</v>
      </c>
      <c r="B87" s="56">
        <v>46238.884942129604</v>
      </c>
      <c r="C87" s="47" t="s">
        <v>721</v>
      </c>
      <c r="D87" s="47" t="s">
        <v>719</v>
      </c>
      <c r="E87" s="47">
        <v>481823</v>
      </c>
      <c r="F87" s="49">
        <v>15760.22</v>
      </c>
      <c r="G87" s="49">
        <v>157.60220000000001</v>
      </c>
      <c r="H87" s="49">
        <v>0</v>
      </c>
      <c r="I87" s="49">
        <v>0</v>
      </c>
      <c r="J87" s="49">
        <v>0</v>
      </c>
      <c r="K87" s="49">
        <v>0</v>
      </c>
      <c r="L87" s="49">
        <v>157.60220000000001</v>
      </c>
      <c r="M87" s="49">
        <v>0</v>
      </c>
      <c r="N87" s="49">
        <v>0</v>
      </c>
      <c r="O87" s="49">
        <f t="shared" si="7"/>
        <v>157.60220000000001</v>
      </c>
      <c r="P87" s="47"/>
      <c r="Q87" s="47"/>
      <c r="R87" s="47"/>
      <c r="S87" s="47" t="s">
        <v>689</v>
      </c>
      <c r="T87" s="53" t="s">
        <v>609</v>
      </c>
      <c r="U87" s="47"/>
    </row>
    <row r="88" spans="1:21" x14ac:dyDescent="0.35">
      <c r="A88" s="45">
        <v>195626</v>
      </c>
      <c r="B88" s="56">
        <v>46238.884953703702</v>
      </c>
      <c r="C88" s="47" t="s">
        <v>722</v>
      </c>
      <c r="D88" s="47" t="s">
        <v>719</v>
      </c>
      <c r="E88" s="47">
        <v>481824</v>
      </c>
      <c r="F88" s="49">
        <v>11784.67</v>
      </c>
      <c r="G88" s="49">
        <v>117.8467</v>
      </c>
      <c r="H88" s="49">
        <v>0</v>
      </c>
      <c r="I88" s="49">
        <v>0</v>
      </c>
      <c r="J88" s="49">
        <v>0</v>
      </c>
      <c r="K88" s="49">
        <v>0</v>
      </c>
      <c r="L88" s="49">
        <v>117.8467</v>
      </c>
      <c r="M88" s="49">
        <v>0</v>
      </c>
      <c r="N88" s="49">
        <v>0</v>
      </c>
      <c r="O88" s="49">
        <f t="shared" ref="O88:O92" si="8">H88+I88+J88+K88+L88+M88+N88</f>
        <v>117.8467</v>
      </c>
      <c r="P88" s="47"/>
      <c r="Q88" s="47"/>
      <c r="R88" s="47"/>
      <c r="S88" s="47" t="s">
        <v>689</v>
      </c>
      <c r="T88" s="53" t="s">
        <v>609</v>
      </c>
      <c r="U88" s="47"/>
    </row>
    <row r="89" spans="1:21" x14ac:dyDescent="0.35">
      <c r="A89" s="45">
        <v>195625</v>
      </c>
      <c r="B89" s="56">
        <v>46239.363831018498</v>
      </c>
      <c r="C89" s="47" t="s">
        <v>723</v>
      </c>
      <c r="D89" s="47" t="s">
        <v>719</v>
      </c>
      <c r="E89" s="47">
        <v>481837</v>
      </c>
      <c r="F89" s="49">
        <v>161338.53</v>
      </c>
      <c r="G89" s="49">
        <v>3997.54</v>
      </c>
      <c r="H89" s="49">
        <v>2408.71</v>
      </c>
      <c r="I89" s="49">
        <v>0</v>
      </c>
      <c r="J89" s="49">
        <v>0</v>
      </c>
      <c r="K89" s="49">
        <v>0</v>
      </c>
      <c r="L89" s="49">
        <v>1588.8299999999997</v>
      </c>
      <c r="M89" s="49">
        <v>0</v>
      </c>
      <c r="N89" s="49">
        <v>0</v>
      </c>
      <c r="O89" s="49">
        <f t="shared" si="8"/>
        <v>3997.54</v>
      </c>
      <c r="P89" s="47"/>
      <c r="Q89" s="47"/>
      <c r="R89" s="47"/>
      <c r="S89" s="47" t="s">
        <v>689</v>
      </c>
      <c r="T89" s="53" t="s">
        <v>609</v>
      </c>
      <c r="U89" s="47"/>
    </row>
    <row r="90" spans="1:21" x14ac:dyDescent="0.35">
      <c r="A90" s="45">
        <v>191464</v>
      </c>
      <c r="B90" s="56" t="s">
        <v>724</v>
      </c>
      <c r="C90" s="47" t="s">
        <v>725</v>
      </c>
      <c r="D90" s="47" t="s">
        <v>726</v>
      </c>
      <c r="E90" s="47">
        <v>2583</v>
      </c>
      <c r="F90" s="49">
        <v>17304.419999999998</v>
      </c>
      <c r="G90" s="49">
        <v>10085.280000000001</v>
      </c>
      <c r="H90" s="49">
        <v>393.59</v>
      </c>
      <c r="I90" s="49">
        <v>9691.69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49">
        <f t="shared" si="8"/>
        <v>10085.280000000001</v>
      </c>
      <c r="P90" s="47"/>
      <c r="Q90" s="47"/>
      <c r="R90" s="47"/>
      <c r="S90" s="47" t="s">
        <v>689</v>
      </c>
      <c r="T90" s="53" t="s">
        <v>598</v>
      </c>
      <c r="U90" s="47"/>
    </row>
    <row r="91" spans="1:21" x14ac:dyDescent="0.35">
      <c r="A91" s="45">
        <v>195237</v>
      </c>
      <c r="B91" s="56">
        <v>46226</v>
      </c>
      <c r="C91" s="47" t="s">
        <v>727</v>
      </c>
      <c r="D91" s="47" t="s">
        <v>728</v>
      </c>
      <c r="E91" s="47">
        <v>42623</v>
      </c>
      <c r="F91" s="49">
        <v>137653.81</v>
      </c>
      <c r="G91" s="49">
        <v>576.37</v>
      </c>
      <c r="H91" s="49">
        <v>576.37</v>
      </c>
      <c r="I91" s="49">
        <v>0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49">
        <f t="shared" si="8"/>
        <v>576.37</v>
      </c>
      <c r="P91" s="47"/>
      <c r="Q91" s="47"/>
      <c r="R91" s="47"/>
      <c r="S91" s="47" t="s">
        <v>689</v>
      </c>
      <c r="T91" s="53" t="s">
        <v>582</v>
      </c>
      <c r="U91" s="47"/>
    </row>
    <row r="92" spans="1:21" x14ac:dyDescent="0.35">
      <c r="A92" s="45">
        <v>195591</v>
      </c>
      <c r="B92" s="56">
        <v>46218</v>
      </c>
      <c r="C92" s="47" t="s">
        <v>729</v>
      </c>
      <c r="D92" s="47" t="s">
        <v>730</v>
      </c>
      <c r="E92" s="47">
        <v>486</v>
      </c>
      <c r="F92" s="49">
        <v>96210.4</v>
      </c>
      <c r="G92" s="49">
        <v>19488</v>
      </c>
      <c r="H92" s="49">
        <v>0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19488</v>
      </c>
      <c r="O92" s="49">
        <f t="shared" si="8"/>
        <v>19488</v>
      </c>
      <c r="P92" s="47"/>
      <c r="Q92" s="47"/>
      <c r="R92" s="47"/>
      <c r="S92" s="47" t="s">
        <v>526</v>
      </c>
      <c r="T92" s="53" t="s">
        <v>582</v>
      </c>
      <c r="U92" s="47" t="s">
        <v>731</v>
      </c>
    </row>
  </sheetData>
  <conditionalFormatting sqref="D3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datos- FOLIO DE GARANTIA</vt:lpstr>
      <vt:lpstr>FOLIOS DE DEVOLUCION-GARANTIA</vt:lpstr>
      <vt:lpstr>NC PENDIENTES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Sanver Compras</cp:lastModifiedBy>
  <dcterms:created xsi:type="dcterms:W3CDTF">2026-09-21T17:35:47Z</dcterms:created>
  <dcterms:modified xsi:type="dcterms:W3CDTF">2026-09-21T18:06:18Z</dcterms:modified>
</cp:coreProperties>
</file>